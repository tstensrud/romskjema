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workbookPr defaultThemeVersion="124226"/>
  <mc:AlternateContent xmlns:mc="http://schemas.openxmlformats.org/markup-compatibility/2006">
    <mc:Choice Requires="x15">
      <x15ac:absPath xmlns:x15ac="http://schemas.microsoft.com/office/spreadsheetml/2010/11/ac" url="F:\03 Oppdrag\624008 Finstad Flerbrukshall RØR\3-Produksjon\33-RIV\Beregninger\"/>
    </mc:Choice>
  </mc:AlternateContent>
  <xr:revisionPtr revIDLastSave="0" documentId="13_ncr:1_{7FB0D4DB-2AE3-48EF-A4B7-A188A63F126A}" xr6:coauthVersionLast="47" xr6:coauthVersionMax="47" xr10:uidLastSave="{00000000-0000-0000-0000-000000000000}"/>
  <bookViews>
    <workbookView xWindow="-120" yWindow="-120" windowWidth="29040" windowHeight="15720" xr2:uid="{00000000-000D-0000-FFFF-FFFF00000000}"/>
  </bookViews>
  <sheets>
    <sheet name="Klimaberegninger" sheetId="1" r:id="rId1"/>
    <sheet name="Ark1" sheetId="3" r:id="rId2"/>
    <sheet name="Luftmengder pr aggr" sheetId="2" r:id="rId3"/>
  </sheets>
  <definedNames>
    <definedName name="_xlnm._FilterDatabase" localSheetId="0" hidden="1">Klimaberegninger!$B$10:$BT$83</definedName>
    <definedName name="DUT" localSheetId="1">'Ark1'!$AA$3</definedName>
    <definedName name="DUT" localSheetId="0">Klimaberegninger!$AA$3</definedName>
    <definedName name="etasjeh" localSheetId="1">'Ark1'!$AA$6</definedName>
    <definedName name="etasjeh" localSheetId="0">Klimaberegninger!$AA$6</definedName>
    <definedName name="n" localSheetId="1">'Ark1'!$AB$6</definedName>
    <definedName name="n" localSheetId="0">Klimaberegninger!$AB$6</definedName>
    <definedName name="sikkerhetstill" localSheetId="1">'Ark1'!$BB$8</definedName>
    <definedName name="sikkerhetstill" localSheetId="0">Klimaberegninger!$BB$8</definedName>
    <definedName name="tilltemper" localSheetId="1">'Ark1'!$AC$6</definedName>
    <definedName name="tilltemper" localSheetId="0">Klimaberegninger!$AC$6</definedName>
    <definedName name="U_1" localSheetId="1">'Ark1'!$AF$4</definedName>
    <definedName name="U_1" localSheetId="0">Klimaberegninger!$AF$4</definedName>
    <definedName name="U_2" localSheetId="1">'Ark1'!$AH$4</definedName>
    <definedName name="U_2" localSheetId="0">Klimaberegninger!$AH$4</definedName>
    <definedName name="U_3" localSheetId="1">'Ark1'!$AJ$4</definedName>
    <definedName name="U_3" localSheetId="0">Klimaberegninger!$AJ$4</definedName>
    <definedName name="U_4" localSheetId="1">'Ark1'!$AL$4</definedName>
    <definedName name="U_4" localSheetId="0">Klimaberegninger!$AL$4</definedName>
    <definedName name="U_5" localSheetId="1">'Ark1'!$AN$4</definedName>
    <definedName name="U_5" localSheetId="0">Klimaberegninger!$AN$4</definedName>
    <definedName name="U_6" localSheetId="1">'Ark1'!$AP$4</definedName>
    <definedName name="U_6" localSheetId="0">Klimaberegninger!$AP$4</definedName>
    <definedName name="_xlnm.Print_Area" localSheetId="0">Klimaberegninger!$A$1:$BU$84</definedName>
    <definedName name="_xlnm.Print_Area" localSheetId="2">'Luftmengder pr aggr'!$A$1:$N$30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P46" i="1" l="1"/>
  <c r="BR46" i="1" s="1"/>
  <c r="BO46" i="1"/>
  <c r="BN46" i="1"/>
  <c r="BJ46" i="1"/>
  <c r="BI46" i="1"/>
  <c r="BK46" i="1" s="1"/>
  <c r="BH46" i="1"/>
  <c r="BG46" i="1"/>
  <c r="BE46" i="1"/>
  <c r="AZ46" i="1"/>
  <c r="AY46" i="1"/>
  <c r="AW46" i="1"/>
  <c r="AV46" i="1"/>
  <c r="AP46" i="1"/>
  <c r="AN46" i="1"/>
  <c r="AM46" i="1"/>
  <c r="AL46" i="1"/>
  <c r="AU46" i="1" s="1"/>
  <c r="AJ46" i="1"/>
  <c r="AT46" i="1" s="1"/>
  <c r="AH46" i="1"/>
  <c r="AF46" i="1"/>
  <c r="AR46" i="1" s="1"/>
  <c r="AD46" i="1"/>
  <c r="AC46" i="1"/>
  <c r="AB46" i="1"/>
  <c r="AA46" i="1"/>
  <c r="Z46" i="1"/>
  <c r="AS46" i="1" s="1"/>
  <c r="V46" i="1"/>
  <c r="X46" i="1" s="1"/>
  <c r="R46" i="1"/>
  <c r="L46" i="1"/>
  <c r="M46" i="1" s="1"/>
  <c r="N46" i="1" s="1"/>
  <c r="K46" i="1"/>
  <c r="K78" i="1"/>
  <c r="M78" i="1" s="1"/>
  <c r="N78" i="1" s="1"/>
  <c r="R78" i="1"/>
  <c r="AK78" i="1"/>
  <c r="BH78" i="1"/>
  <c r="AC59" i="1"/>
  <c r="AC60" i="1"/>
  <c r="AC61" i="1"/>
  <c r="AC62" i="1"/>
  <c r="AC63" i="1"/>
  <c r="AC64" i="1"/>
  <c r="AC65" i="1"/>
  <c r="AC66" i="1"/>
  <c r="AC68" i="1"/>
  <c r="AC70" i="1"/>
  <c r="AC71" i="1"/>
  <c r="AC54" i="1"/>
  <c r="AC55" i="1"/>
  <c r="AC56" i="1"/>
  <c r="AC57" i="1"/>
  <c r="AC58" i="1"/>
  <c r="AC48" i="1"/>
  <c r="AC49" i="1"/>
  <c r="AC50" i="1"/>
  <c r="AA17" i="1"/>
  <c r="AA25" i="1"/>
  <c r="AA26" i="1"/>
  <c r="AA27" i="1"/>
  <c r="Z26" i="1"/>
  <c r="Z27" i="1"/>
  <c r="Z28" i="1"/>
  <c r="Z29" i="1"/>
  <c r="Z30" i="1"/>
  <c r="Z31" i="1"/>
  <c r="Z74" i="1"/>
  <c r="Z75" i="1"/>
  <c r="Z76" i="1"/>
  <c r="Z77" i="1"/>
  <c r="Z79" i="1"/>
  <c r="Z80" i="1"/>
  <c r="Z81" i="1"/>
  <c r="Z82" i="1"/>
  <c r="Z83" i="1"/>
  <c r="Z51" i="1"/>
  <c r="Z69" i="1"/>
  <c r="Z53" i="1"/>
  <c r="Z54" i="1"/>
  <c r="Z55" i="1"/>
  <c r="Z56" i="1"/>
  <c r="Z57" i="1"/>
  <c r="Z58" i="1"/>
  <c r="Z59" i="1"/>
  <c r="Z60" i="1"/>
  <c r="Z61" i="1"/>
  <c r="Z62" i="1"/>
  <c r="Z63" i="1"/>
  <c r="Z64" i="1"/>
  <c r="Z65" i="1"/>
  <c r="Z66" i="1"/>
  <c r="Z68" i="1"/>
  <c r="Z70" i="1"/>
  <c r="Z71" i="1"/>
  <c r="Z72" i="1"/>
  <c r="Z73" i="1"/>
  <c r="Z45" i="1"/>
  <c r="Z47" i="1"/>
  <c r="Z48" i="1"/>
  <c r="Z49" i="1"/>
  <c r="Z50" i="1"/>
  <c r="Z52" i="1"/>
  <c r="BD70" i="1"/>
  <c r="BD56" i="1"/>
  <c r="BD77" i="1"/>
  <c r="BD74" i="1"/>
  <c r="BD71" i="1"/>
  <c r="BD41" i="1"/>
  <c r="BD40" i="1"/>
  <c r="BD37" i="1"/>
  <c r="BD33" i="1"/>
  <c r="BD30" i="1"/>
  <c r="BD23" i="1"/>
  <c r="BD20" i="1"/>
  <c r="BD16" i="1"/>
  <c r="BD75" i="1"/>
  <c r="BD72" i="1"/>
  <c r="BD42" i="1"/>
  <c r="BD38" i="1"/>
  <c r="BD34" i="1"/>
  <c r="BD31" i="1"/>
  <c r="BD24" i="1"/>
  <c r="BD21" i="1"/>
  <c r="BD19" i="1"/>
  <c r="BD15" i="1"/>
  <c r="BD12" i="1"/>
  <c r="BD80" i="1"/>
  <c r="BG26" i="1"/>
  <c r="BH26" i="1"/>
  <c r="BI26" i="1"/>
  <c r="BJ26" i="1"/>
  <c r="BN26" i="1"/>
  <c r="BO26" i="1"/>
  <c r="BP26" i="1" s="1"/>
  <c r="BR26" i="1" s="1"/>
  <c r="BG17" i="1"/>
  <c r="BH17" i="1"/>
  <c r="BI17" i="1"/>
  <c r="BJ17" i="1"/>
  <c r="BN17" i="1"/>
  <c r="BO17" i="1"/>
  <c r="BP17" i="1" s="1"/>
  <c r="BR17" i="1" s="1"/>
  <c r="BG64" i="1"/>
  <c r="BH64" i="1"/>
  <c r="BI64" i="1"/>
  <c r="BJ64" i="1"/>
  <c r="BN64" i="1"/>
  <c r="BO64" i="1"/>
  <c r="BG83" i="1"/>
  <c r="BH83" i="1"/>
  <c r="BI83" i="1"/>
  <c r="BK83" i="1" s="1"/>
  <c r="BJ83" i="1"/>
  <c r="BN83" i="1"/>
  <c r="BO83" i="1"/>
  <c r="AB26" i="1"/>
  <c r="AC26" i="1"/>
  <c r="AD26" i="1"/>
  <c r="AF26" i="1"/>
  <c r="AH26" i="1"/>
  <c r="AJ26" i="1"/>
  <c r="AL26" i="1"/>
  <c r="AN26" i="1"/>
  <c r="AP26" i="1"/>
  <c r="BE26" i="1"/>
  <c r="Z17" i="1"/>
  <c r="AB17" i="1"/>
  <c r="AC17" i="1"/>
  <c r="AD17" i="1"/>
  <c r="AF17" i="1"/>
  <c r="AH17" i="1"/>
  <c r="AJ17" i="1"/>
  <c r="AL17" i="1"/>
  <c r="AN17" i="1"/>
  <c r="AP17" i="1"/>
  <c r="BE17" i="1"/>
  <c r="AB64" i="1"/>
  <c r="AY64" i="1" s="1"/>
  <c r="AD64" i="1"/>
  <c r="AF64" i="1"/>
  <c r="AH64" i="1"/>
  <c r="AJ64" i="1"/>
  <c r="AK64" i="1"/>
  <c r="AL64" i="1"/>
  <c r="AN64" i="1"/>
  <c r="AP64" i="1"/>
  <c r="BE64" i="1"/>
  <c r="AB83" i="1"/>
  <c r="AC83" i="1"/>
  <c r="AD83" i="1"/>
  <c r="AF83" i="1"/>
  <c r="AH83" i="1"/>
  <c r="AJ83" i="1"/>
  <c r="AK83" i="1"/>
  <c r="AL83" i="1"/>
  <c r="AN83" i="1"/>
  <c r="AP83" i="1"/>
  <c r="BE83" i="1"/>
  <c r="I26" i="1"/>
  <c r="K26" i="1" s="1"/>
  <c r="L26" i="1"/>
  <c r="R26" i="1"/>
  <c r="V26" i="1"/>
  <c r="W26" i="1" s="1"/>
  <c r="I17" i="1"/>
  <c r="K17" i="1" s="1"/>
  <c r="L17" i="1"/>
  <c r="R17" i="1"/>
  <c r="V17" i="1"/>
  <c r="W17" i="1" s="1"/>
  <c r="I64" i="1"/>
  <c r="K64" i="1" s="1"/>
  <c r="L64" i="1"/>
  <c r="R64" i="1"/>
  <c r="V64" i="1"/>
  <c r="W64" i="1" s="1"/>
  <c r="I83" i="1"/>
  <c r="K83" i="1"/>
  <c r="L83" i="1"/>
  <c r="R83" i="1"/>
  <c r="V83" i="1"/>
  <c r="X83" i="1" s="1"/>
  <c r="AK80" i="1"/>
  <c r="N10" i="3"/>
  <c r="N7" i="3"/>
  <c r="L11" i="3"/>
  <c r="L10" i="3"/>
  <c r="L8" i="3"/>
  <c r="L7" i="3"/>
  <c r="AK74" i="1"/>
  <c r="AK71" i="1"/>
  <c r="AK82" i="1"/>
  <c r="AK69" i="1"/>
  <c r="AK57" i="1"/>
  <c r="AK60" i="1"/>
  <c r="AK59" i="1"/>
  <c r="AK58" i="1"/>
  <c r="AK62" i="1"/>
  <c r="AK65" i="1"/>
  <c r="AK61" i="1"/>
  <c r="AK63" i="1"/>
  <c r="AK54" i="1"/>
  <c r="AK77" i="1"/>
  <c r="AK73" i="1"/>
  <c r="AK72" i="1"/>
  <c r="AK76" i="1"/>
  <c r="AK56" i="1"/>
  <c r="AK53" i="1"/>
  <c r="AK79" i="1"/>
  <c r="AK75" i="1"/>
  <c r="AK70" i="1"/>
  <c r="AK81" i="1"/>
  <c r="AK66" i="1"/>
  <c r="AK55" i="1"/>
  <c r="AK68" i="1"/>
  <c r="AK67" i="1"/>
  <c r="AM30" i="1"/>
  <c r="AM33" i="1"/>
  <c r="AM35" i="1"/>
  <c r="AM36" i="1"/>
  <c r="AM41" i="1"/>
  <c r="AM37" i="1"/>
  <c r="AM40" i="1"/>
  <c r="AM38" i="1"/>
  <c r="AM42" i="1"/>
  <c r="AM39" i="1"/>
  <c r="AM43" i="1"/>
  <c r="AM18" i="1"/>
  <c r="AM16" i="1"/>
  <c r="AM21" i="1"/>
  <c r="AM20" i="1"/>
  <c r="AM23" i="1"/>
  <c r="AM24" i="1"/>
  <c r="AM25" i="1"/>
  <c r="AM22" i="1"/>
  <c r="AM15" i="1"/>
  <c r="AM32" i="1"/>
  <c r="AM12" i="1"/>
  <c r="AM28" i="1"/>
  <c r="AM27" i="1"/>
  <c r="AM11" i="1"/>
  <c r="AM13" i="1"/>
  <c r="AM44" i="1"/>
  <c r="AM47" i="1"/>
  <c r="AM48" i="1"/>
  <c r="AM49" i="1"/>
  <c r="AM50" i="1"/>
  <c r="AM52" i="1"/>
  <c r="AM29" i="1"/>
  <c r="AM19" i="1"/>
  <c r="AM45" i="1"/>
  <c r="AM14" i="1"/>
  <c r="AM51" i="1"/>
  <c r="AM31" i="1"/>
  <c r="AM34" i="1"/>
  <c r="BM46" i="1" l="1"/>
  <c r="AX46" i="1"/>
  <c r="BA46" i="1" s="1"/>
  <c r="BB46" i="1" s="1"/>
  <c r="BC46" i="1" s="1"/>
  <c r="BS46" i="1"/>
  <c r="BT46" i="1" s="1"/>
  <c r="W46" i="1"/>
  <c r="BK64" i="1"/>
  <c r="BK17" i="1"/>
  <c r="BP83" i="1"/>
  <c r="BR83" i="1" s="1"/>
  <c r="BK26" i="1"/>
  <c r="AY83" i="1"/>
  <c r="AY26" i="1"/>
  <c r="AY17" i="1"/>
  <c r="BP64" i="1"/>
  <c r="BR64" i="1" s="1"/>
  <c r="M83" i="1"/>
  <c r="N83" i="1" s="1"/>
  <c r="BM26" i="1"/>
  <c r="BS26" i="1" s="1"/>
  <c r="BT26" i="1" s="1"/>
  <c r="M26" i="1"/>
  <c r="N26" i="1" s="1"/>
  <c r="AV17" i="1"/>
  <c r="AT17" i="1"/>
  <c r="AW64" i="1"/>
  <c r="AV83" i="1"/>
  <c r="AT64" i="1"/>
  <c r="AS83" i="1"/>
  <c r="AS64" i="1"/>
  <c r="AS17" i="1"/>
  <c r="AS26" i="1"/>
  <c r="AW17" i="1"/>
  <c r="AR83" i="1"/>
  <c r="AR64" i="1"/>
  <c r="AR17" i="1"/>
  <c r="AR26" i="1"/>
  <c r="AW26" i="1"/>
  <c r="AV64" i="1"/>
  <c r="AT83" i="1"/>
  <c r="AW83" i="1"/>
  <c r="AV26" i="1"/>
  <c r="AT26" i="1"/>
  <c r="AU64" i="1"/>
  <c r="AU17" i="1"/>
  <c r="AU26" i="1"/>
  <c r="AZ26" i="1"/>
  <c r="X64" i="1"/>
  <c r="AZ17" i="1"/>
  <c r="X17" i="1"/>
  <c r="M64" i="1"/>
  <c r="N64" i="1" s="1"/>
  <c r="AZ64" i="1"/>
  <c r="BM83" i="1"/>
  <c r="BM17" i="1"/>
  <c r="BS17" i="1" s="1"/>
  <c r="BT17" i="1" s="1"/>
  <c r="AZ83" i="1"/>
  <c r="M17" i="1"/>
  <c r="N17" i="1" s="1"/>
  <c r="X26" i="1"/>
  <c r="BM64" i="1"/>
  <c r="AU83" i="1"/>
  <c r="W83" i="1"/>
  <c r="J30" i="1"/>
  <c r="J33" i="1"/>
  <c r="J41" i="1"/>
  <c r="J37" i="1"/>
  <c r="BS83" i="1" l="1"/>
  <c r="BT83" i="1" s="1"/>
  <c r="BS64" i="1"/>
  <c r="BT64" i="1" s="1"/>
  <c r="AX64" i="1"/>
  <c r="BA64" i="1" s="1"/>
  <c r="BB64" i="1" s="1"/>
  <c r="BC64" i="1" s="1"/>
  <c r="AX26" i="1"/>
  <c r="BA26" i="1" s="1"/>
  <c r="BB26" i="1" s="1"/>
  <c r="BC26" i="1" s="1"/>
  <c r="AX17" i="1"/>
  <c r="BA17" i="1" s="1"/>
  <c r="BB17" i="1" s="1"/>
  <c r="BC17" i="1" s="1"/>
  <c r="AX83" i="1"/>
  <c r="BA83" i="1"/>
  <c r="BB83" i="1" s="1"/>
  <c r="BC83" i="1" s="1"/>
  <c r="V34" i="1"/>
  <c r="X34" i="1" s="1"/>
  <c r="W34" i="1" l="1"/>
  <c r="F5" i="2"/>
  <c r="BC4" i="1" l="1"/>
  <c r="BQ84" i="1" l="1"/>
  <c r="BL84" i="1"/>
  <c r="BD84" i="1"/>
  <c r="Q84" i="1"/>
  <c r="P84" i="1"/>
  <c r="O84" i="1"/>
  <c r="G84" i="1"/>
  <c r="F84" i="1"/>
  <c r="L30" i="1" l="1"/>
  <c r="L35" i="1"/>
  <c r="L31" i="1"/>
  <c r="L36" i="1"/>
  <c r="L41" i="1"/>
  <c r="L37" i="1"/>
  <c r="L40" i="1"/>
  <c r="L38" i="1"/>
  <c r="L42" i="1"/>
  <c r="L39" i="1"/>
  <c r="L43" i="1"/>
  <c r="L18" i="1"/>
  <c r="L16" i="1"/>
  <c r="L21" i="1"/>
  <c r="L20" i="1"/>
  <c r="L23" i="1"/>
  <c r="L24" i="1"/>
  <c r="L25" i="1"/>
  <c r="L22" i="1"/>
  <c r="L15" i="1"/>
  <c r="L32" i="1"/>
  <c r="L12" i="1"/>
  <c r="L28" i="1"/>
  <c r="L27" i="1"/>
  <c r="L11" i="1"/>
  <c r="L13" i="1"/>
  <c r="L44" i="1"/>
  <c r="L47" i="1"/>
  <c r="L48" i="1"/>
  <c r="L49" i="1"/>
  <c r="L50" i="1"/>
  <c r="L52" i="1"/>
  <c r="L29" i="1"/>
  <c r="L19" i="1"/>
  <c r="L45" i="1"/>
  <c r="L14" i="1"/>
  <c r="L51" i="1"/>
  <c r="L67" i="1"/>
  <c r="L68" i="1"/>
  <c r="L74" i="1"/>
  <c r="L71" i="1"/>
  <c r="L82" i="1"/>
  <c r="L69" i="1"/>
  <c r="L57" i="1"/>
  <c r="L60" i="1"/>
  <c r="L59" i="1"/>
  <c r="L58" i="1"/>
  <c r="L62" i="1"/>
  <c r="L65" i="1"/>
  <c r="L61" i="1"/>
  <c r="L63" i="1"/>
  <c r="L54" i="1"/>
  <c r="L77" i="1"/>
  <c r="L73" i="1"/>
  <c r="L72" i="1"/>
  <c r="L76" i="1"/>
  <c r="L56" i="1"/>
  <c r="L53" i="1"/>
  <c r="L79" i="1"/>
  <c r="L75" i="1"/>
  <c r="L70" i="1"/>
  <c r="L81" i="1"/>
  <c r="L66" i="1"/>
  <c r="L55" i="1"/>
  <c r="BN33" i="1" l="1"/>
  <c r="BO34" i="1" l="1"/>
  <c r="BO30" i="1"/>
  <c r="BO35" i="1"/>
  <c r="BO31" i="1"/>
  <c r="BO36" i="1"/>
  <c r="BO41" i="1"/>
  <c r="BO37" i="1"/>
  <c r="BO40" i="1"/>
  <c r="BO38" i="1"/>
  <c r="BO42" i="1"/>
  <c r="BO39" i="1"/>
  <c r="BO43" i="1"/>
  <c r="BO18" i="1"/>
  <c r="BO16" i="1"/>
  <c r="BO21" i="1"/>
  <c r="BO20" i="1"/>
  <c r="BO23" i="1"/>
  <c r="BO24" i="1"/>
  <c r="BO25" i="1"/>
  <c r="BO22" i="1"/>
  <c r="BO15" i="1"/>
  <c r="BO32" i="1"/>
  <c r="BO12" i="1"/>
  <c r="BO28" i="1"/>
  <c r="BO27" i="1"/>
  <c r="BO11" i="1"/>
  <c r="BO13" i="1"/>
  <c r="BO44" i="1"/>
  <c r="BO47" i="1"/>
  <c r="BO48" i="1"/>
  <c r="BO49" i="1"/>
  <c r="BO50" i="1"/>
  <c r="BO52" i="1"/>
  <c r="BO29" i="1"/>
  <c r="BO19" i="1"/>
  <c r="BO45" i="1"/>
  <c r="BO14" i="1"/>
  <c r="BO51" i="1"/>
  <c r="BO67" i="1"/>
  <c r="BO68" i="1"/>
  <c r="BO74" i="1"/>
  <c r="BO71" i="1"/>
  <c r="BO82" i="1"/>
  <c r="BO69" i="1"/>
  <c r="BO57" i="1"/>
  <c r="BO60" i="1"/>
  <c r="BO59" i="1"/>
  <c r="BO58" i="1"/>
  <c r="BO62" i="1"/>
  <c r="BO65" i="1"/>
  <c r="BO61" i="1"/>
  <c r="BO63" i="1"/>
  <c r="BO54" i="1"/>
  <c r="BO77" i="1"/>
  <c r="BO73" i="1"/>
  <c r="BO72" i="1"/>
  <c r="BO76" i="1"/>
  <c r="BO56" i="1"/>
  <c r="BO53" i="1"/>
  <c r="BO79" i="1"/>
  <c r="BO75" i="1"/>
  <c r="BO70" i="1"/>
  <c r="BO81" i="1"/>
  <c r="BO66" i="1"/>
  <c r="BO55" i="1"/>
  <c r="BO80" i="1"/>
  <c r="BO33" i="1"/>
  <c r="BN34" i="1"/>
  <c r="BN30" i="1"/>
  <c r="BN35" i="1"/>
  <c r="BN31" i="1"/>
  <c r="BN36" i="1"/>
  <c r="BN41" i="1"/>
  <c r="BN37" i="1"/>
  <c r="BN40" i="1"/>
  <c r="BN38" i="1"/>
  <c r="BN42" i="1"/>
  <c r="BN39" i="1"/>
  <c r="BN43" i="1"/>
  <c r="BN18" i="1"/>
  <c r="BN16" i="1"/>
  <c r="BN21" i="1"/>
  <c r="BN20" i="1"/>
  <c r="BN23" i="1"/>
  <c r="BN24" i="1"/>
  <c r="BN25" i="1"/>
  <c r="BN22" i="1"/>
  <c r="BN15" i="1"/>
  <c r="BN32" i="1"/>
  <c r="BN12" i="1"/>
  <c r="BN28" i="1"/>
  <c r="BN27" i="1"/>
  <c r="BN11" i="1"/>
  <c r="BN13" i="1"/>
  <c r="BN44" i="1"/>
  <c r="BN47" i="1"/>
  <c r="BN48" i="1"/>
  <c r="BN49" i="1"/>
  <c r="BN50" i="1"/>
  <c r="BN52" i="1"/>
  <c r="BN29" i="1"/>
  <c r="BN19" i="1"/>
  <c r="BN45" i="1"/>
  <c r="BN14" i="1"/>
  <c r="BN51" i="1"/>
  <c r="BN67" i="1"/>
  <c r="BN68" i="1"/>
  <c r="BN74" i="1"/>
  <c r="BN71" i="1"/>
  <c r="BN82" i="1"/>
  <c r="BN69" i="1"/>
  <c r="BN57" i="1"/>
  <c r="BN60" i="1"/>
  <c r="BN59" i="1"/>
  <c r="BN58" i="1"/>
  <c r="BN62" i="1"/>
  <c r="BN65" i="1"/>
  <c r="BN61" i="1"/>
  <c r="BN63" i="1"/>
  <c r="BN54" i="1"/>
  <c r="BN77" i="1"/>
  <c r="BN73" i="1"/>
  <c r="BN72" i="1"/>
  <c r="BN76" i="1"/>
  <c r="BN56" i="1"/>
  <c r="BN53" i="1"/>
  <c r="BN79" i="1"/>
  <c r="BN75" i="1"/>
  <c r="BN70" i="1"/>
  <c r="BN81" i="1"/>
  <c r="BN66" i="1"/>
  <c r="BN55" i="1"/>
  <c r="BN80" i="1"/>
  <c r="BJ34" i="1"/>
  <c r="BJ30" i="1"/>
  <c r="BJ35" i="1"/>
  <c r="BJ31" i="1"/>
  <c r="BJ36" i="1"/>
  <c r="BJ41" i="1"/>
  <c r="BJ37" i="1"/>
  <c r="BJ40" i="1"/>
  <c r="BJ38" i="1"/>
  <c r="BJ42" i="1"/>
  <c r="BJ39" i="1"/>
  <c r="BJ43" i="1"/>
  <c r="BJ18" i="1"/>
  <c r="BJ16" i="1"/>
  <c r="BJ21" i="1"/>
  <c r="BJ20" i="1"/>
  <c r="BJ23" i="1"/>
  <c r="BJ24" i="1"/>
  <c r="BJ25" i="1"/>
  <c r="BJ22" i="1"/>
  <c r="BJ15" i="1"/>
  <c r="BJ32" i="1"/>
  <c r="BJ12" i="1"/>
  <c r="BJ28" i="1"/>
  <c r="BJ27" i="1"/>
  <c r="BJ11" i="1"/>
  <c r="BJ13" i="1"/>
  <c r="BJ44" i="1"/>
  <c r="BJ47" i="1"/>
  <c r="BJ48" i="1"/>
  <c r="BJ49" i="1"/>
  <c r="BJ50" i="1"/>
  <c r="BJ52" i="1"/>
  <c r="BJ29" i="1"/>
  <c r="BJ19" i="1"/>
  <c r="BJ45" i="1"/>
  <c r="BJ14" i="1"/>
  <c r="BJ51" i="1"/>
  <c r="BJ67" i="1"/>
  <c r="BJ68" i="1"/>
  <c r="BJ74" i="1"/>
  <c r="BJ71" i="1"/>
  <c r="BJ82" i="1"/>
  <c r="BJ69" i="1"/>
  <c r="BJ57" i="1"/>
  <c r="BJ60" i="1"/>
  <c r="BJ59" i="1"/>
  <c r="BJ58" i="1"/>
  <c r="BJ62" i="1"/>
  <c r="BJ65" i="1"/>
  <c r="BJ61" i="1"/>
  <c r="BJ63" i="1"/>
  <c r="BJ54" i="1"/>
  <c r="BJ77" i="1"/>
  <c r="BJ73" i="1"/>
  <c r="BJ72" i="1"/>
  <c r="BJ76" i="1"/>
  <c r="BJ56" i="1"/>
  <c r="BJ53" i="1"/>
  <c r="BJ79" i="1"/>
  <c r="BJ75" i="1"/>
  <c r="BJ70" i="1"/>
  <c r="BJ81" i="1"/>
  <c r="BJ66" i="1"/>
  <c r="BJ55" i="1"/>
  <c r="BJ80" i="1"/>
  <c r="BJ33" i="1"/>
  <c r="BI34" i="1"/>
  <c r="BI30" i="1"/>
  <c r="BI35" i="1"/>
  <c r="BI31" i="1"/>
  <c r="BI36" i="1"/>
  <c r="BI41" i="1"/>
  <c r="BI37" i="1"/>
  <c r="BI40" i="1"/>
  <c r="BI38" i="1"/>
  <c r="BI42" i="1"/>
  <c r="BI39" i="1"/>
  <c r="BI43" i="1"/>
  <c r="BI18" i="1"/>
  <c r="BI16" i="1"/>
  <c r="BI21" i="1"/>
  <c r="BI20" i="1"/>
  <c r="BI23" i="1"/>
  <c r="BI24" i="1"/>
  <c r="BI25" i="1"/>
  <c r="BI22" i="1"/>
  <c r="BI15" i="1"/>
  <c r="BI32" i="1"/>
  <c r="BI12" i="1"/>
  <c r="BI28" i="1"/>
  <c r="BI27" i="1"/>
  <c r="BI11" i="1"/>
  <c r="BI13" i="1"/>
  <c r="BI44" i="1"/>
  <c r="BI47" i="1"/>
  <c r="BI48" i="1"/>
  <c r="BI49" i="1"/>
  <c r="BI50" i="1"/>
  <c r="BI52" i="1"/>
  <c r="BI29" i="1"/>
  <c r="BI19" i="1"/>
  <c r="BI45" i="1"/>
  <c r="BI14" i="1"/>
  <c r="BI51" i="1"/>
  <c r="BI67" i="1"/>
  <c r="BI68" i="1"/>
  <c r="BI74" i="1"/>
  <c r="BI71" i="1"/>
  <c r="BI82" i="1"/>
  <c r="BI69" i="1"/>
  <c r="BI57" i="1"/>
  <c r="BI60" i="1"/>
  <c r="BI59" i="1"/>
  <c r="BI58" i="1"/>
  <c r="BI62" i="1"/>
  <c r="BI65" i="1"/>
  <c r="BI61" i="1"/>
  <c r="BI63" i="1"/>
  <c r="BI54" i="1"/>
  <c r="BI77" i="1"/>
  <c r="BI73" i="1"/>
  <c r="BI72" i="1"/>
  <c r="BI76" i="1"/>
  <c r="BI56" i="1"/>
  <c r="BI53" i="1"/>
  <c r="BI79" i="1"/>
  <c r="BI75" i="1"/>
  <c r="BI70" i="1"/>
  <c r="BI81" i="1"/>
  <c r="BI66" i="1"/>
  <c r="BI55" i="1"/>
  <c r="BI80" i="1"/>
  <c r="BI33" i="1"/>
  <c r="I10" i="2"/>
  <c r="L10" i="2" s="1"/>
  <c r="I11" i="2"/>
  <c r="L11" i="2" s="1"/>
  <c r="I12" i="2"/>
  <c r="I13" i="2"/>
  <c r="I14" i="2"/>
  <c r="I15" i="2"/>
  <c r="I16" i="2"/>
  <c r="I17" i="2"/>
  <c r="I18" i="2"/>
  <c r="I19" i="2"/>
  <c r="I20" i="2"/>
  <c r="I21" i="2"/>
  <c r="I22" i="2"/>
  <c r="I23" i="2"/>
  <c r="I24" i="2"/>
  <c r="I25" i="2"/>
  <c r="I26" i="2"/>
  <c r="I27" i="2"/>
  <c r="I28" i="2"/>
  <c r="I9" i="2"/>
  <c r="L9" i="2" s="1"/>
  <c r="E10" i="2"/>
  <c r="E11" i="2"/>
  <c r="E12" i="2"/>
  <c r="E13" i="2"/>
  <c r="E14" i="2"/>
  <c r="E15" i="2"/>
  <c r="E16" i="2"/>
  <c r="E17" i="2"/>
  <c r="E18" i="2"/>
  <c r="E19" i="2"/>
  <c r="E20" i="2"/>
  <c r="E21" i="2"/>
  <c r="E22" i="2"/>
  <c r="E23" i="2"/>
  <c r="E24" i="2"/>
  <c r="E25" i="2"/>
  <c r="E26" i="2"/>
  <c r="E27" i="2"/>
  <c r="E28" i="2"/>
  <c r="E9" i="2"/>
  <c r="D10" i="2"/>
  <c r="D11" i="2"/>
  <c r="D12" i="2"/>
  <c r="D13" i="2"/>
  <c r="D14" i="2"/>
  <c r="D15" i="2"/>
  <c r="D16" i="2"/>
  <c r="D17" i="2"/>
  <c r="D18" i="2"/>
  <c r="D19" i="2"/>
  <c r="D20" i="2"/>
  <c r="D21" i="2"/>
  <c r="D22" i="2"/>
  <c r="D23" i="2"/>
  <c r="D24" i="2"/>
  <c r="D25" i="2"/>
  <c r="D26" i="2"/>
  <c r="D27" i="2"/>
  <c r="D28" i="2"/>
  <c r="D9" i="2"/>
  <c r="C10" i="2"/>
  <c r="C11" i="2"/>
  <c r="C12" i="2"/>
  <c r="C13" i="2"/>
  <c r="C14" i="2"/>
  <c r="C15" i="2"/>
  <c r="C16" i="2"/>
  <c r="C17" i="2"/>
  <c r="C18" i="2"/>
  <c r="C19" i="2"/>
  <c r="C20" i="2"/>
  <c r="C21" i="2"/>
  <c r="C22" i="2"/>
  <c r="C23" i="2"/>
  <c r="C24" i="2"/>
  <c r="C25" i="2"/>
  <c r="C26" i="2"/>
  <c r="C27" i="2"/>
  <c r="C28" i="2"/>
  <c r="C9" i="2"/>
  <c r="D5" i="2"/>
  <c r="D4" i="2"/>
  <c r="D3" i="2"/>
  <c r="M25" i="2"/>
  <c r="M26" i="2"/>
  <c r="M27" i="2"/>
  <c r="M28" i="2"/>
  <c r="L25" i="2"/>
  <c r="L26" i="2"/>
  <c r="L27" i="2"/>
  <c r="L28" i="2"/>
  <c r="K29" i="2"/>
  <c r="J29" i="2"/>
  <c r="M24" i="2"/>
  <c r="L24" i="2"/>
  <c r="M23" i="2"/>
  <c r="L23" i="2"/>
  <c r="M22" i="2"/>
  <c r="L22" i="2"/>
  <c r="M21" i="2"/>
  <c r="L21" i="2"/>
  <c r="M20" i="2"/>
  <c r="L20" i="2"/>
  <c r="M19" i="2"/>
  <c r="L19" i="2"/>
  <c r="M18" i="2"/>
  <c r="L18" i="2"/>
  <c r="M17" i="2"/>
  <c r="L17" i="2"/>
  <c r="M16" i="2"/>
  <c r="L16" i="2"/>
  <c r="M15" i="2"/>
  <c r="L15" i="2"/>
  <c r="M14" i="2"/>
  <c r="L14" i="2"/>
  <c r="M13" i="2"/>
  <c r="L13" i="2"/>
  <c r="M12" i="2"/>
  <c r="L12" i="2"/>
  <c r="BK43" i="1" l="1"/>
  <c r="BK18" i="1"/>
  <c r="BK19" i="1"/>
  <c r="BK72" i="1"/>
  <c r="BK73" i="1"/>
  <c r="BP60" i="1"/>
  <c r="BR60" i="1" s="1"/>
  <c r="BK59" i="1"/>
  <c r="BK13" i="1"/>
  <c r="BK31" i="1"/>
  <c r="BP25" i="1"/>
  <c r="BR25" i="1" s="1"/>
  <c r="BK30" i="1"/>
  <c r="BK54" i="1"/>
  <c r="BK52" i="1"/>
  <c r="BK42" i="1"/>
  <c r="BK81" i="1"/>
  <c r="BK82" i="1"/>
  <c r="BK15" i="1"/>
  <c r="BK33" i="1"/>
  <c r="BK70" i="1"/>
  <c r="BK71" i="1"/>
  <c r="BK22" i="1"/>
  <c r="BK75" i="1"/>
  <c r="BK68" i="1"/>
  <c r="BK24" i="1"/>
  <c r="BK58" i="1"/>
  <c r="BK44" i="1"/>
  <c r="BK36" i="1"/>
  <c r="BK55" i="1"/>
  <c r="BK56" i="1"/>
  <c r="BK65" i="1"/>
  <c r="BK14" i="1"/>
  <c r="BK48" i="1"/>
  <c r="BK12" i="1"/>
  <c r="BK21" i="1"/>
  <c r="BK37" i="1"/>
  <c r="BP66" i="1"/>
  <c r="BR66" i="1" s="1"/>
  <c r="BP76" i="1"/>
  <c r="BR76" i="1" s="1"/>
  <c r="BP62" i="1"/>
  <c r="BR62" i="1" s="1"/>
  <c r="BP69" i="1"/>
  <c r="BR69" i="1" s="1"/>
  <c r="BP45" i="1"/>
  <c r="BR45" i="1" s="1"/>
  <c r="BP47" i="1"/>
  <c r="BR47" i="1" s="1"/>
  <c r="BP32" i="1"/>
  <c r="BR32" i="1" s="1"/>
  <c r="BP16" i="1"/>
  <c r="BR16" i="1" s="1"/>
  <c r="BP41" i="1"/>
  <c r="BR41" i="1" s="1"/>
  <c r="BK77" i="1"/>
  <c r="BK60" i="1"/>
  <c r="BK74" i="1"/>
  <c r="BK29" i="1"/>
  <c r="BK11" i="1"/>
  <c r="BK25" i="1"/>
  <c r="BK39" i="1"/>
  <c r="BK35" i="1"/>
  <c r="BP54" i="1"/>
  <c r="BR54" i="1" s="1"/>
  <c r="BP68" i="1"/>
  <c r="BR68" i="1" s="1"/>
  <c r="BP42" i="1"/>
  <c r="BR42" i="1" s="1"/>
  <c r="G27" i="2"/>
  <c r="H27" i="2" s="1"/>
  <c r="G26" i="2"/>
  <c r="H26" i="2" s="1"/>
  <c r="G24" i="2"/>
  <c r="H24" i="2" s="1"/>
  <c r="BK63" i="1"/>
  <c r="BK50" i="1"/>
  <c r="BK38" i="1"/>
  <c r="BK80" i="1"/>
  <c r="BK53" i="1"/>
  <c r="BK61" i="1"/>
  <c r="BK57" i="1"/>
  <c r="BK51" i="1"/>
  <c r="BK49" i="1"/>
  <c r="BK28" i="1"/>
  <c r="BK20" i="1"/>
  <c r="BK40" i="1"/>
  <c r="BK79" i="1"/>
  <c r="BK67" i="1"/>
  <c r="BK23" i="1"/>
  <c r="BK27" i="1"/>
  <c r="BK34" i="1"/>
  <c r="BK66" i="1"/>
  <c r="BK76" i="1"/>
  <c r="BK62" i="1"/>
  <c r="BK69" i="1"/>
  <c r="BK45" i="1"/>
  <c r="BK47" i="1"/>
  <c r="BK32" i="1"/>
  <c r="BK16" i="1"/>
  <c r="BK41" i="1"/>
  <c r="BP11" i="1"/>
  <c r="BR11" i="1" s="1"/>
  <c r="BP75" i="1"/>
  <c r="BR75" i="1" s="1"/>
  <c r="BP52" i="1"/>
  <c r="BR52" i="1" s="1"/>
  <c r="BP24" i="1"/>
  <c r="BR24" i="1" s="1"/>
  <c r="BP30" i="1"/>
  <c r="BR30" i="1" s="1"/>
  <c r="BP77" i="1"/>
  <c r="BR77" i="1" s="1"/>
  <c r="BP57" i="1"/>
  <c r="BR57" i="1" s="1"/>
  <c r="BP51" i="1"/>
  <c r="BR51" i="1" s="1"/>
  <c r="BP20" i="1"/>
  <c r="BR20" i="1" s="1"/>
  <c r="BP33" i="1"/>
  <c r="BP80" i="1"/>
  <c r="BR80" i="1" s="1"/>
  <c r="BP40" i="1"/>
  <c r="BR40" i="1" s="1"/>
  <c r="BP70" i="1"/>
  <c r="BR70" i="1" s="1"/>
  <c r="BP53" i="1"/>
  <c r="BR53" i="1" s="1"/>
  <c r="BP61" i="1"/>
  <c r="BR61" i="1" s="1"/>
  <c r="BP71" i="1"/>
  <c r="BR71" i="1" s="1"/>
  <c r="BP49" i="1"/>
  <c r="BR49" i="1" s="1"/>
  <c r="BP28" i="1"/>
  <c r="BR28" i="1" s="1"/>
  <c r="BP43" i="1"/>
  <c r="BR43" i="1" s="1"/>
  <c r="BP31" i="1"/>
  <c r="BR31" i="1" s="1"/>
  <c r="BP73" i="1"/>
  <c r="BR73" i="1" s="1"/>
  <c r="BP59" i="1"/>
  <c r="BR59" i="1" s="1"/>
  <c r="BP13" i="1"/>
  <c r="BR13" i="1" s="1"/>
  <c r="BP22" i="1"/>
  <c r="BR22" i="1" s="1"/>
  <c r="BP55" i="1"/>
  <c r="BR55" i="1" s="1"/>
  <c r="BP56" i="1"/>
  <c r="BR56" i="1" s="1"/>
  <c r="BP65" i="1"/>
  <c r="BR65" i="1" s="1"/>
  <c r="BP74" i="1"/>
  <c r="BR74" i="1" s="1"/>
  <c r="BP14" i="1"/>
  <c r="BR14" i="1" s="1"/>
  <c r="BP29" i="1"/>
  <c r="BR29" i="1" s="1"/>
  <c r="BP48" i="1"/>
  <c r="BR48" i="1" s="1"/>
  <c r="BP12" i="1"/>
  <c r="BR12" i="1" s="1"/>
  <c r="BP21" i="1"/>
  <c r="BR21" i="1" s="1"/>
  <c r="BP39" i="1"/>
  <c r="BR39" i="1" s="1"/>
  <c r="BP37" i="1"/>
  <c r="BR37" i="1" s="1"/>
  <c r="BP35" i="1"/>
  <c r="BR35" i="1" s="1"/>
  <c r="BP81" i="1"/>
  <c r="BR81" i="1" s="1"/>
  <c r="BP79" i="1"/>
  <c r="BR79" i="1" s="1"/>
  <c r="BP72" i="1"/>
  <c r="BR72" i="1" s="1"/>
  <c r="BP63" i="1"/>
  <c r="BR63" i="1" s="1"/>
  <c r="BP58" i="1"/>
  <c r="BR58" i="1" s="1"/>
  <c r="BP82" i="1"/>
  <c r="BR82" i="1" s="1"/>
  <c r="BP67" i="1"/>
  <c r="BR67" i="1" s="1"/>
  <c r="BP19" i="1"/>
  <c r="BR19" i="1" s="1"/>
  <c r="BP50" i="1"/>
  <c r="BR50" i="1" s="1"/>
  <c r="BP44" i="1"/>
  <c r="BR44" i="1" s="1"/>
  <c r="BP27" i="1"/>
  <c r="BR27" i="1" s="1"/>
  <c r="BP15" i="1"/>
  <c r="BR15" i="1" s="1"/>
  <c r="BP23" i="1"/>
  <c r="BR23" i="1" s="1"/>
  <c r="BP18" i="1"/>
  <c r="BR18" i="1" s="1"/>
  <c r="BP38" i="1"/>
  <c r="BR38" i="1" s="1"/>
  <c r="BP36" i="1"/>
  <c r="BR36" i="1" s="1"/>
  <c r="BP34" i="1"/>
  <c r="BR34" i="1" s="1"/>
  <c r="G28" i="2"/>
  <c r="H28" i="2" s="1"/>
  <c r="G20" i="2"/>
  <c r="H20" i="2" s="1"/>
  <c r="G16" i="2"/>
  <c r="H16" i="2" s="1"/>
  <c r="G25" i="2"/>
  <c r="H25" i="2" s="1"/>
  <c r="G23" i="2"/>
  <c r="H23" i="2" s="1"/>
  <c r="G13" i="2"/>
  <c r="H13" i="2" s="1"/>
  <c r="G18" i="2"/>
  <c r="H18" i="2" s="1"/>
  <c r="G12" i="2"/>
  <c r="H12" i="2" s="1"/>
  <c r="G17" i="2"/>
  <c r="H17" i="2" s="1"/>
  <c r="G22" i="2"/>
  <c r="H22" i="2" s="1"/>
  <c r="G10" i="2"/>
  <c r="G15" i="2"/>
  <c r="H15" i="2" s="1"/>
  <c r="G21" i="2"/>
  <c r="H21" i="2" s="1"/>
  <c r="G14" i="2"/>
  <c r="H14" i="2" s="1"/>
  <c r="E29" i="2"/>
  <c r="I29" i="2"/>
  <c r="L29" i="2" s="1"/>
  <c r="G11" i="2"/>
  <c r="G19" i="2"/>
  <c r="H19" i="2" s="1"/>
  <c r="C29" i="2"/>
  <c r="D29" i="2"/>
  <c r="G9" i="2"/>
  <c r="M9" i="2" s="1"/>
  <c r="BH80" i="1"/>
  <c r="BG80" i="1"/>
  <c r="BE80" i="1"/>
  <c r="AP80" i="1"/>
  <c r="AN80" i="1"/>
  <c r="AL80" i="1"/>
  <c r="AJ80" i="1"/>
  <c r="AH80" i="1"/>
  <c r="AF80" i="1"/>
  <c r="AD80" i="1"/>
  <c r="AC80" i="1"/>
  <c r="AB80" i="1"/>
  <c r="V80" i="1"/>
  <c r="R80" i="1"/>
  <c r="J80" i="1"/>
  <c r="L80" i="1" s="1"/>
  <c r="I80" i="1"/>
  <c r="K80" i="1" s="1"/>
  <c r="BH55" i="1"/>
  <c r="BG55" i="1"/>
  <c r="BE55" i="1"/>
  <c r="AP55" i="1"/>
  <c r="AN55" i="1"/>
  <c r="AL55" i="1"/>
  <c r="AJ55" i="1"/>
  <c r="AH55" i="1"/>
  <c r="AF55" i="1"/>
  <c r="AD55" i="1"/>
  <c r="AB55" i="1"/>
  <c r="V55" i="1"/>
  <c r="R55" i="1"/>
  <c r="I55" i="1"/>
  <c r="K55" i="1" s="1"/>
  <c r="BH66" i="1"/>
  <c r="BG66" i="1"/>
  <c r="BE66" i="1"/>
  <c r="AP66" i="1"/>
  <c r="AN66" i="1"/>
  <c r="AL66" i="1"/>
  <c r="AJ66" i="1"/>
  <c r="AH66" i="1"/>
  <c r="AF66" i="1"/>
  <c r="AD66" i="1"/>
  <c r="AB66" i="1"/>
  <c r="V66" i="1"/>
  <c r="R66" i="1"/>
  <c r="K66" i="1"/>
  <c r="BH81" i="1"/>
  <c r="BG81" i="1"/>
  <c r="BE81" i="1"/>
  <c r="AP81" i="1"/>
  <c r="AN81" i="1"/>
  <c r="AL81" i="1"/>
  <c r="AJ81" i="1"/>
  <c r="AH81" i="1"/>
  <c r="AF81" i="1"/>
  <c r="AD81" i="1"/>
  <c r="AC81" i="1"/>
  <c r="AB81" i="1"/>
  <c r="V81" i="1"/>
  <c r="R81" i="1"/>
  <c r="I81" i="1"/>
  <c r="K81" i="1" s="1"/>
  <c r="BH70" i="1"/>
  <c r="BG70" i="1"/>
  <c r="BE70" i="1"/>
  <c r="AP70" i="1"/>
  <c r="AN70" i="1"/>
  <c r="AL70" i="1"/>
  <c r="AJ70" i="1"/>
  <c r="AH70" i="1"/>
  <c r="AF70" i="1"/>
  <c r="AD70" i="1"/>
  <c r="AB70" i="1"/>
  <c r="V70" i="1"/>
  <c r="R70" i="1"/>
  <c r="K70" i="1"/>
  <c r="BH75" i="1"/>
  <c r="BG75" i="1"/>
  <c r="BE75" i="1"/>
  <c r="AP75" i="1"/>
  <c r="AN75" i="1"/>
  <c r="AL75" i="1"/>
  <c r="AJ75" i="1"/>
  <c r="AH75" i="1"/>
  <c r="AF75" i="1"/>
  <c r="AD75" i="1"/>
  <c r="AC75" i="1"/>
  <c r="AB75" i="1"/>
  <c r="V75" i="1"/>
  <c r="R75" i="1"/>
  <c r="I75" i="1"/>
  <c r="K75" i="1" s="1"/>
  <c r="BH79" i="1"/>
  <c r="BG79" i="1"/>
  <c r="BE79" i="1"/>
  <c r="AP79" i="1"/>
  <c r="AN79" i="1"/>
  <c r="AL79" i="1"/>
  <c r="AJ79" i="1"/>
  <c r="AH79" i="1"/>
  <c r="AF79" i="1"/>
  <c r="AD79" i="1"/>
  <c r="AC79" i="1"/>
  <c r="AB79" i="1"/>
  <c r="V79" i="1"/>
  <c r="R79" i="1"/>
  <c r="K79" i="1"/>
  <c r="BH53" i="1"/>
  <c r="BG53" i="1"/>
  <c r="BE53" i="1"/>
  <c r="AP53" i="1"/>
  <c r="AN53" i="1"/>
  <c r="AL53" i="1"/>
  <c r="AJ53" i="1"/>
  <c r="AH53" i="1"/>
  <c r="AF53" i="1"/>
  <c r="AD53" i="1"/>
  <c r="AC53" i="1"/>
  <c r="AB53" i="1"/>
  <c r="V53" i="1"/>
  <c r="R53" i="1"/>
  <c r="K53" i="1"/>
  <c r="BH56" i="1"/>
  <c r="BG56" i="1"/>
  <c r="BE56" i="1"/>
  <c r="AP56" i="1"/>
  <c r="AN56" i="1"/>
  <c r="AL56" i="1"/>
  <c r="AJ56" i="1"/>
  <c r="AH56" i="1"/>
  <c r="AF56" i="1"/>
  <c r="AD56" i="1"/>
  <c r="AB56" i="1"/>
  <c r="V56" i="1"/>
  <c r="R56" i="1"/>
  <c r="K56" i="1"/>
  <c r="BH76" i="1"/>
  <c r="BG76" i="1"/>
  <c r="BE76" i="1"/>
  <c r="AP76" i="1"/>
  <c r="AN76" i="1"/>
  <c r="AL76" i="1"/>
  <c r="AJ76" i="1"/>
  <c r="AH76" i="1"/>
  <c r="AF76" i="1"/>
  <c r="AD76" i="1"/>
  <c r="AC76" i="1"/>
  <c r="AB76" i="1"/>
  <c r="V76" i="1"/>
  <c r="R76" i="1"/>
  <c r="I76" i="1"/>
  <c r="K76" i="1" s="1"/>
  <c r="BH72" i="1"/>
  <c r="BG72" i="1"/>
  <c r="BE72" i="1"/>
  <c r="AP72" i="1"/>
  <c r="AN72" i="1"/>
  <c r="AL72" i="1"/>
  <c r="AJ72" i="1"/>
  <c r="AH72" i="1"/>
  <c r="AF72" i="1"/>
  <c r="AD72" i="1"/>
  <c r="AC72" i="1"/>
  <c r="AB72" i="1"/>
  <c r="V72" i="1"/>
  <c r="R72" i="1"/>
  <c r="I72" i="1"/>
  <c r="K72" i="1" s="1"/>
  <c r="BH73" i="1"/>
  <c r="BG73" i="1"/>
  <c r="BE73" i="1"/>
  <c r="AP73" i="1"/>
  <c r="AN73" i="1"/>
  <c r="AL73" i="1"/>
  <c r="AJ73" i="1"/>
  <c r="AH73" i="1"/>
  <c r="AF73" i="1"/>
  <c r="AD73" i="1"/>
  <c r="AC73" i="1"/>
  <c r="AB73" i="1"/>
  <c r="V73" i="1"/>
  <c r="R73" i="1"/>
  <c r="I73" i="1"/>
  <c r="K73" i="1" s="1"/>
  <c r="BH77" i="1"/>
  <c r="BG77" i="1"/>
  <c r="BE77" i="1"/>
  <c r="AP77" i="1"/>
  <c r="AN77" i="1"/>
  <c r="AL77" i="1"/>
  <c r="AJ77" i="1"/>
  <c r="AH77" i="1"/>
  <c r="AF77" i="1"/>
  <c r="AD77" i="1"/>
  <c r="AC77" i="1"/>
  <c r="AB77" i="1"/>
  <c r="V77" i="1"/>
  <c r="R77" i="1"/>
  <c r="K77" i="1"/>
  <c r="BH54" i="1"/>
  <c r="BG54" i="1"/>
  <c r="BE54" i="1"/>
  <c r="AP54" i="1"/>
  <c r="AN54" i="1"/>
  <c r="AL54" i="1"/>
  <c r="AJ54" i="1"/>
  <c r="AH54" i="1"/>
  <c r="AF54" i="1"/>
  <c r="AD54" i="1"/>
  <c r="AB54" i="1"/>
  <c r="V54" i="1"/>
  <c r="R54" i="1"/>
  <c r="K54" i="1"/>
  <c r="BH63" i="1"/>
  <c r="BG63" i="1"/>
  <c r="BE63" i="1"/>
  <c r="AP63" i="1"/>
  <c r="AN63" i="1"/>
  <c r="AL63" i="1"/>
  <c r="AJ63" i="1"/>
  <c r="AH63" i="1"/>
  <c r="AF63" i="1"/>
  <c r="AD63" i="1"/>
  <c r="AB63" i="1"/>
  <c r="V63" i="1"/>
  <c r="R63" i="1"/>
  <c r="I63" i="1"/>
  <c r="K63" i="1" s="1"/>
  <c r="BH61" i="1"/>
  <c r="BG61" i="1"/>
  <c r="BE61" i="1"/>
  <c r="AP61" i="1"/>
  <c r="AN61" i="1"/>
  <c r="AL61" i="1"/>
  <c r="AJ61" i="1"/>
  <c r="AH61" i="1"/>
  <c r="AF61" i="1"/>
  <c r="AD61" i="1"/>
  <c r="AB61" i="1"/>
  <c r="V61" i="1"/>
  <c r="R61" i="1"/>
  <c r="I61" i="1"/>
  <c r="K61" i="1" s="1"/>
  <c r="BH65" i="1"/>
  <c r="BG65" i="1"/>
  <c r="BE65" i="1"/>
  <c r="AP65" i="1"/>
  <c r="AN65" i="1"/>
  <c r="AL65" i="1"/>
  <c r="AJ65" i="1"/>
  <c r="AH65" i="1"/>
  <c r="AF65" i="1"/>
  <c r="AD65" i="1"/>
  <c r="AB65" i="1"/>
  <c r="V65" i="1"/>
  <c r="R65" i="1"/>
  <c r="I65" i="1"/>
  <c r="K65" i="1" s="1"/>
  <c r="BH62" i="1"/>
  <c r="BG62" i="1"/>
  <c r="BE62" i="1"/>
  <c r="AP62" i="1"/>
  <c r="AN62" i="1"/>
  <c r="AL62" i="1"/>
  <c r="AJ62" i="1"/>
  <c r="AH62" i="1"/>
  <c r="AF62" i="1"/>
  <c r="AD62" i="1"/>
  <c r="AB62" i="1"/>
  <c r="V62" i="1"/>
  <c r="R62" i="1"/>
  <c r="I62" i="1"/>
  <c r="K62" i="1" s="1"/>
  <c r="BH58" i="1"/>
  <c r="BG58" i="1"/>
  <c r="BE58" i="1"/>
  <c r="AP58" i="1"/>
  <c r="AN58" i="1"/>
  <c r="AL58" i="1"/>
  <c r="AJ58" i="1"/>
  <c r="AH58" i="1"/>
  <c r="AF58" i="1"/>
  <c r="AD58" i="1"/>
  <c r="AB58" i="1"/>
  <c r="V58" i="1"/>
  <c r="R58" i="1"/>
  <c r="I58" i="1"/>
  <c r="K58" i="1" s="1"/>
  <c r="BH59" i="1"/>
  <c r="BG59" i="1"/>
  <c r="BE59" i="1"/>
  <c r="AP59" i="1"/>
  <c r="AN59" i="1"/>
  <c r="AL59" i="1"/>
  <c r="AJ59" i="1"/>
  <c r="AH59" i="1"/>
  <c r="AF59" i="1"/>
  <c r="AD59" i="1"/>
  <c r="AB59" i="1"/>
  <c r="V59" i="1"/>
  <c r="R59" i="1"/>
  <c r="I59" i="1"/>
  <c r="K59" i="1" s="1"/>
  <c r="BH60" i="1"/>
  <c r="BG60" i="1"/>
  <c r="BE60" i="1"/>
  <c r="AP60" i="1"/>
  <c r="AN60" i="1"/>
  <c r="AL60" i="1"/>
  <c r="AJ60" i="1"/>
  <c r="AH60" i="1"/>
  <c r="AF60" i="1"/>
  <c r="AD60" i="1"/>
  <c r="AB60" i="1"/>
  <c r="V60" i="1"/>
  <c r="R60" i="1"/>
  <c r="I60" i="1"/>
  <c r="K60" i="1" s="1"/>
  <c r="BH57" i="1"/>
  <c r="BG57" i="1"/>
  <c r="BE57" i="1"/>
  <c r="AP57" i="1"/>
  <c r="AN57" i="1"/>
  <c r="AL57" i="1"/>
  <c r="AJ57" i="1"/>
  <c r="AH57" i="1"/>
  <c r="AF57" i="1"/>
  <c r="AD57" i="1"/>
  <c r="AB57" i="1"/>
  <c r="V57" i="1"/>
  <c r="R57" i="1"/>
  <c r="I57" i="1"/>
  <c r="K57" i="1" s="1"/>
  <c r="M57" i="1" s="1"/>
  <c r="N57" i="1" s="1"/>
  <c r="BH69" i="1"/>
  <c r="BG69" i="1"/>
  <c r="BE69" i="1"/>
  <c r="AP69" i="1"/>
  <c r="AN69" i="1"/>
  <c r="AL69" i="1"/>
  <c r="AJ69" i="1"/>
  <c r="AH69" i="1"/>
  <c r="AF69" i="1"/>
  <c r="AD69" i="1"/>
  <c r="AC69" i="1"/>
  <c r="AB69" i="1"/>
  <c r="V69" i="1"/>
  <c r="R69" i="1"/>
  <c r="I69" i="1"/>
  <c r="K69" i="1" s="1"/>
  <c r="BH82" i="1"/>
  <c r="BG82" i="1"/>
  <c r="BE82" i="1"/>
  <c r="AP82" i="1"/>
  <c r="AN82" i="1"/>
  <c r="AL82" i="1"/>
  <c r="AJ82" i="1"/>
  <c r="AH82" i="1"/>
  <c r="AF82" i="1"/>
  <c r="AD82" i="1"/>
  <c r="AC82" i="1"/>
  <c r="AB82" i="1"/>
  <c r="V82" i="1"/>
  <c r="R82" i="1"/>
  <c r="I82" i="1"/>
  <c r="K82" i="1" s="1"/>
  <c r="BH71" i="1"/>
  <c r="BG71" i="1"/>
  <c r="BE71" i="1"/>
  <c r="AP71" i="1"/>
  <c r="AN71" i="1"/>
  <c r="AL71" i="1"/>
  <c r="AJ71" i="1"/>
  <c r="AH71" i="1"/>
  <c r="AF71" i="1"/>
  <c r="AD71" i="1"/>
  <c r="AB71" i="1"/>
  <c r="V71" i="1"/>
  <c r="R71" i="1"/>
  <c r="I71" i="1"/>
  <c r="K71" i="1" s="1"/>
  <c r="BH74" i="1"/>
  <c r="BG74" i="1"/>
  <c r="BE74" i="1"/>
  <c r="AP74" i="1"/>
  <c r="AN74" i="1"/>
  <c r="AL74" i="1"/>
  <c r="AJ74" i="1"/>
  <c r="AH74" i="1"/>
  <c r="AF74" i="1"/>
  <c r="AD74" i="1"/>
  <c r="AC74" i="1"/>
  <c r="AB74" i="1"/>
  <c r="V74" i="1"/>
  <c r="R74" i="1"/>
  <c r="I74" i="1"/>
  <c r="K74" i="1" s="1"/>
  <c r="BH68" i="1"/>
  <c r="BG68" i="1"/>
  <c r="BE68" i="1"/>
  <c r="AP68" i="1"/>
  <c r="AN68" i="1"/>
  <c r="AL68" i="1"/>
  <c r="AJ68" i="1"/>
  <c r="AH68" i="1"/>
  <c r="AF68" i="1"/>
  <c r="AD68" i="1"/>
  <c r="AB68" i="1"/>
  <c r="V68" i="1"/>
  <c r="R68" i="1"/>
  <c r="K68" i="1"/>
  <c r="BH67" i="1"/>
  <c r="BG67" i="1"/>
  <c r="BE67" i="1"/>
  <c r="AP67" i="1"/>
  <c r="AN67" i="1"/>
  <c r="AL67" i="1"/>
  <c r="AJ67" i="1"/>
  <c r="AH67" i="1"/>
  <c r="AF67" i="1"/>
  <c r="AD67" i="1"/>
  <c r="AB67" i="1"/>
  <c r="V67" i="1"/>
  <c r="R67" i="1"/>
  <c r="I67" i="1"/>
  <c r="K67" i="1" s="1"/>
  <c r="BH51" i="1"/>
  <c r="BG51" i="1"/>
  <c r="BE51" i="1"/>
  <c r="AP51" i="1"/>
  <c r="AN51" i="1"/>
  <c r="AL51" i="1"/>
  <c r="AJ51" i="1"/>
  <c r="AH51" i="1"/>
  <c r="AF51" i="1"/>
  <c r="AD51" i="1"/>
  <c r="AB51" i="1"/>
  <c r="V51" i="1"/>
  <c r="R51" i="1"/>
  <c r="I51" i="1"/>
  <c r="K51" i="1" s="1"/>
  <c r="M51" i="1" s="1"/>
  <c r="N51" i="1" s="1"/>
  <c r="BH14" i="1"/>
  <c r="BG14" i="1"/>
  <c r="BE14" i="1"/>
  <c r="AP14" i="1"/>
  <c r="AN14" i="1"/>
  <c r="AL14" i="1"/>
  <c r="AJ14" i="1"/>
  <c r="AH14" i="1"/>
  <c r="AF14" i="1"/>
  <c r="AD14" i="1"/>
  <c r="AC14" i="1"/>
  <c r="AB14" i="1"/>
  <c r="AA14" i="1"/>
  <c r="Z14" i="1"/>
  <c r="V14" i="1"/>
  <c r="R14" i="1"/>
  <c r="I14" i="1"/>
  <c r="K14" i="1" s="1"/>
  <c r="BH45" i="1"/>
  <c r="BG45" i="1"/>
  <c r="BE45" i="1"/>
  <c r="AP45" i="1"/>
  <c r="AN45" i="1"/>
  <c r="AL45" i="1"/>
  <c r="AJ45" i="1"/>
  <c r="AH45" i="1"/>
  <c r="AF45" i="1"/>
  <c r="AD45" i="1"/>
  <c r="AC45" i="1"/>
  <c r="AB45" i="1"/>
  <c r="AA45" i="1"/>
  <c r="V45" i="1"/>
  <c r="R45" i="1"/>
  <c r="K45" i="1"/>
  <c r="BH19" i="1"/>
  <c r="BG19" i="1"/>
  <c r="BE19" i="1"/>
  <c r="AP19" i="1"/>
  <c r="AN19" i="1"/>
  <c r="AL19" i="1"/>
  <c r="AJ19" i="1"/>
  <c r="AH19" i="1"/>
  <c r="AF19" i="1"/>
  <c r="AD19" i="1"/>
  <c r="AC19" i="1"/>
  <c r="AB19" i="1"/>
  <c r="AA19" i="1"/>
  <c r="Z19" i="1"/>
  <c r="V19" i="1"/>
  <c r="R19" i="1"/>
  <c r="K19" i="1"/>
  <c r="BH29" i="1"/>
  <c r="BG29" i="1"/>
  <c r="BE29" i="1"/>
  <c r="AP29" i="1"/>
  <c r="AN29" i="1"/>
  <c r="AL29" i="1"/>
  <c r="AJ29" i="1"/>
  <c r="AH29" i="1"/>
  <c r="AF29" i="1"/>
  <c r="AD29" i="1"/>
  <c r="AC29" i="1"/>
  <c r="AB29" i="1"/>
  <c r="AA29" i="1"/>
  <c r="V29" i="1"/>
  <c r="R29" i="1"/>
  <c r="K29" i="1"/>
  <c r="BH52" i="1"/>
  <c r="BG52" i="1"/>
  <c r="BE52" i="1"/>
  <c r="AP52" i="1"/>
  <c r="AN52" i="1"/>
  <c r="AL52" i="1"/>
  <c r="AJ52" i="1"/>
  <c r="AH52" i="1"/>
  <c r="AF52" i="1"/>
  <c r="AD52" i="1"/>
  <c r="AC52" i="1"/>
  <c r="AB52" i="1"/>
  <c r="AA52" i="1"/>
  <c r="V52" i="1"/>
  <c r="R52" i="1"/>
  <c r="I52" i="1"/>
  <c r="K52" i="1" s="1"/>
  <c r="BH50" i="1"/>
  <c r="BG50" i="1"/>
  <c r="BE50" i="1"/>
  <c r="AP50" i="1"/>
  <c r="AN50" i="1"/>
  <c r="AL50" i="1"/>
  <c r="AJ50" i="1"/>
  <c r="AH50" i="1"/>
  <c r="AF50" i="1"/>
  <c r="AD50" i="1"/>
  <c r="AB50" i="1"/>
  <c r="AA50" i="1"/>
  <c r="V50" i="1"/>
  <c r="R50" i="1"/>
  <c r="K50" i="1"/>
  <c r="BH49" i="1"/>
  <c r="BG49" i="1"/>
  <c r="BE49" i="1"/>
  <c r="AP49" i="1"/>
  <c r="AN49" i="1"/>
  <c r="AL49" i="1"/>
  <c r="AJ49" i="1"/>
  <c r="AH49" i="1"/>
  <c r="AF49" i="1"/>
  <c r="AD49" i="1"/>
  <c r="AB49" i="1"/>
  <c r="AA49" i="1"/>
  <c r="V49" i="1"/>
  <c r="R49" i="1"/>
  <c r="K49" i="1"/>
  <c r="M49" i="1" s="1"/>
  <c r="N49" i="1" s="1"/>
  <c r="BH48" i="1"/>
  <c r="BG48" i="1"/>
  <c r="BE48" i="1"/>
  <c r="AP48" i="1"/>
  <c r="AN48" i="1"/>
  <c r="AL48" i="1"/>
  <c r="AJ48" i="1"/>
  <c r="AH48" i="1"/>
  <c r="AF48" i="1"/>
  <c r="AD48" i="1"/>
  <c r="AB48" i="1"/>
  <c r="AA48" i="1"/>
  <c r="V48" i="1"/>
  <c r="R48" i="1"/>
  <c r="K48" i="1"/>
  <c r="BH47" i="1"/>
  <c r="BG47" i="1"/>
  <c r="BE47" i="1"/>
  <c r="AP47" i="1"/>
  <c r="AN47" i="1"/>
  <c r="AL47" i="1"/>
  <c r="AJ47" i="1"/>
  <c r="AH47" i="1"/>
  <c r="AF47" i="1"/>
  <c r="AD47" i="1"/>
  <c r="AC47" i="1"/>
  <c r="AB47" i="1"/>
  <c r="AA47" i="1"/>
  <c r="V47" i="1"/>
  <c r="R47" i="1"/>
  <c r="K47" i="1"/>
  <c r="BH44" i="1"/>
  <c r="BG44" i="1"/>
  <c r="BE44" i="1"/>
  <c r="AP44" i="1"/>
  <c r="AN44" i="1"/>
  <c r="AL44" i="1"/>
  <c r="AJ44" i="1"/>
  <c r="AH44" i="1"/>
  <c r="AF44" i="1"/>
  <c r="AD44" i="1"/>
  <c r="AC44" i="1"/>
  <c r="AB44" i="1"/>
  <c r="AA44" i="1"/>
  <c r="Z44" i="1"/>
  <c r="V44" i="1"/>
  <c r="R44" i="1"/>
  <c r="K44" i="1"/>
  <c r="BH13" i="1"/>
  <c r="BG13" i="1"/>
  <c r="BE13" i="1"/>
  <c r="AP13" i="1"/>
  <c r="AN13" i="1"/>
  <c r="AL13" i="1"/>
  <c r="AJ13" i="1"/>
  <c r="AH13" i="1"/>
  <c r="AF13" i="1"/>
  <c r="AD13" i="1"/>
  <c r="AC13" i="1"/>
  <c r="AB13" i="1"/>
  <c r="AA13" i="1"/>
  <c r="Z13" i="1"/>
  <c r="V13" i="1"/>
  <c r="R13" i="1"/>
  <c r="K13" i="1"/>
  <c r="BH11" i="1"/>
  <c r="BG11" i="1"/>
  <c r="BE11" i="1"/>
  <c r="AP11" i="1"/>
  <c r="AN11" i="1"/>
  <c r="AL11" i="1"/>
  <c r="AJ11" i="1"/>
  <c r="AH11" i="1"/>
  <c r="AF11" i="1"/>
  <c r="AD11" i="1"/>
  <c r="AC11" i="1"/>
  <c r="AB11" i="1"/>
  <c r="AA11" i="1"/>
  <c r="Z11" i="1"/>
  <c r="V11" i="1"/>
  <c r="R11" i="1"/>
  <c r="I11" i="1"/>
  <c r="K11" i="1" s="1"/>
  <c r="BH27" i="1"/>
  <c r="BG27" i="1"/>
  <c r="BE27" i="1"/>
  <c r="AP27" i="1"/>
  <c r="AN27" i="1"/>
  <c r="AL27" i="1"/>
  <c r="AJ27" i="1"/>
  <c r="AH27" i="1"/>
  <c r="AF27" i="1"/>
  <c r="AD27" i="1"/>
  <c r="AB27" i="1"/>
  <c r="V27" i="1"/>
  <c r="R27" i="1"/>
  <c r="K27" i="1"/>
  <c r="BH28" i="1"/>
  <c r="BG28" i="1"/>
  <c r="BE28" i="1"/>
  <c r="AP28" i="1"/>
  <c r="AN28" i="1"/>
  <c r="AL28" i="1"/>
  <c r="AJ28" i="1"/>
  <c r="AH28" i="1"/>
  <c r="AF28" i="1"/>
  <c r="AD28" i="1"/>
  <c r="AB28" i="1"/>
  <c r="AA28" i="1"/>
  <c r="V28" i="1"/>
  <c r="R28" i="1"/>
  <c r="I28" i="1"/>
  <c r="K28" i="1" s="1"/>
  <c r="BH12" i="1"/>
  <c r="BG12" i="1"/>
  <c r="BE12" i="1"/>
  <c r="AP12" i="1"/>
  <c r="AN12" i="1"/>
  <c r="AL12" i="1"/>
  <c r="AJ12" i="1"/>
  <c r="AH12" i="1"/>
  <c r="AF12" i="1"/>
  <c r="AD12" i="1"/>
  <c r="AB12" i="1"/>
  <c r="AA12" i="1"/>
  <c r="Z12" i="1"/>
  <c r="V12" i="1"/>
  <c r="R12" i="1"/>
  <c r="I12" i="1"/>
  <c r="K12" i="1" s="1"/>
  <c r="BH32" i="1"/>
  <c r="BG32" i="1"/>
  <c r="BE32" i="1"/>
  <c r="AP32" i="1"/>
  <c r="AN32" i="1"/>
  <c r="AL32" i="1"/>
  <c r="AJ32" i="1"/>
  <c r="AH32" i="1"/>
  <c r="AF32" i="1"/>
  <c r="AD32" i="1"/>
  <c r="AC32" i="1"/>
  <c r="AB32" i="1"/>
  <c r="AA32" i="1"/>
  <c r="Z32" i="1"/>
  <c r="V32" i="1"/>
  <c r="R32" i="1"/>
  <c r="I32" i="1"/>
  <c r="K32" i="1" s="1"/>
  <c r="BH15" i="1"/>
  <c r="BG15" i="1"/>
  <c r="BE15" i="1"/>
  <c r="AP15" i="1"/>
  <c r="AN15" i="1"/>
  <c r="AL15" i="1"/>
  <c r="AJ15" i="1"/>
  <c r="AH15" i="1"/>
  <c r="AF15" i="1"/>
  <c r="AD15" i="1"/>
  <c r="AC15" i="1"/>
  <c r="AB15" i="1"/>
  <c r="AA15" i="1"/>
  <c r="Z15" i="1"/>
  <c r="V15" i="1"/>
  <c r="R15" i="1"/>
  <c r="I15" i="1"/>
  <c r="K15" i="1" s="1"/>
  <c r="M15" i="1" s="1"/>
  <c r="N15" i="1" s="1"/>
  <c r="BH22" i="1"/>
  <c r="BG22" i="1"/>
  <c r="BE22" i="1"/>
  <c r="AP22" i="1"/>
  <c r="AN22" i="1"/>
  <c r="AL22" i="1"/>
  <c r="AJ22" i="1"/>
  <c r="AH22" i="1"/>
  <c r="AF22" i="1"/>
  <c r="AD22" i="1"/>
  <c r="AC22" i="1"/>
  <c r="AB22" i="1"/>
  <c r="AA22" i="1"/>
  <c r="Z22" i="1"/>
  <c r="V22" i="1"/>
  <c r="R22" i="1"/>
  <c r="I22" i="1"/>
  <c r="K22" i="1" s="1"/>
  <c r="M22" i="1" s="1"/>
  <c r="N22" i="1" s="1"/>
  <c r="BH25" i="1"/>
  <c r="BG25" i="1"/>
  <c r="BE25" i="1"/>
  <c r="AP25" i="1"/>
  <c r="AN25" i="1"/>
  <c r="AL25" i="1"/>
  <c r="AJ25" i="1"/>
  <c r="AH25" i="1"/>
  <c r="AF25" i="1"/>
  <c r="AD25" i="1"/>
  <c r="AC25" i="1"/>
  <c r="AB25" i="1"/>
  <c r="Z25" i="1"/>
  <c r="V25" i="1"/>
  <c r="R25" i="1"/>
  <c r="I25" i="1"/>
  <c r="K25" i="1" s="1"/>
  <c r="BH24" i="1"/>
  <c r="BG24" i="1"/>
  <c r="BE24" i="1"/>
  <c r="AP24" i="1"/>
  <c r="AN24" i="1"/>
  <c r="AL24" i="1"/>
  <c r="AJ24" i="1"/>
  <c r="AH24" i="1"/>
  <c r="AF24" i="1"/>
  <c r="AD24" i="1"/>
  <c r="AC24" i="1"/>
  <c r="AB24" i="1"/>
  <c r="AA24" i="1"/>
  <c r="Z24" i="1"/>
  <c r="V24" i="1"/>
  <c r="R24" i="1"/>
  <c r="I24" i="1"/>
  <c r="K24" i="1" s="1"/>
  <c r="BH23" i="1"/>
  <c r="BG23" i="1"/>
  <c r="BE23" i="1"/>
  <c r="AP23" i="1"/>
  <c r="AN23" i="1"/>
  <c r="AL23" i="1"/>
  <c r="AJ23" i="1"/>
  <c r="AH23" i="1"/>
  <c r="AF23" i="1"/>
  <c r="AD23" i="1"/>
  <c r="AC23" i="1"/>
  <c r="AB23" i="1"/>
  <c r="AA23" i="1"/>
  <c r="Z23" i="1"/>
  <c r="V23" i="1"/>
  <c r="R23" i="1"/>
  <c r="I23" i="1"/>
  <c r="K23" i="1" s="1"/>
  <c r="BH20" i="1"/>
  <c r="BG20" i="1"/>
  <c r="BE20" i="1"/>
  <c r="AP20" i="1"/>
  <c r="AN20" i="1"/>
  <c r="AL20" i="1"/>
  <c r="AJ20" i="1"/>
  <c r="AH20" i="1"/>
  <c r="AF20" i="1"/>
  <c r="AD20" i="1"/>
  <c r="AC20" i="1"/>
  <c r="AB20" i="1"/>
  <c r="AA20" i="1"/>
  <c r="Z20" i="1"/>
  <c r="V20" i="1"/>
  <c r="R20" i="1"/>
  <c r="I20" i="1"/>
  <c r="K20" i="1" s="1"/>
  <c r="BH21" i="1"/>
  <c r="BG21" i="1"/>
  <c r="BE21" i="1"/>
  <c r="AP21" i="1"/>
  <c r="AN21" i="1"/>
  <c r="AL21" i="1"/>
  <c r="AJ21" i="1"/>
  <c r="AH21" i="1"/>
  <c r="AF21" i="1"/>
  <c r="AD21" i="1"/>
  <c r="AC21" i="1"/>
  <c r="AB21" i="1"/>
  <c r="AA21" i="1"/>
  <c r="Z21" i="1"/>
  <c r="V21" i="1"/>
  <c r="R21" i="1"/>
  <c r="I21" i="1"/>
  <c r="K21" i="1" s="1"/>
  <c r="BH16" i="1"/>
  <c r="BG16" i="1"/>
  <c r="BE16" i="1"/>
  <c r="AP16" i="1"/>
  <c r="AN16" i="1"/>
  <c r="AL16" i="1"/>
  <c r="AJ16" i="1"/>
  <c r="AH16" i="1"/>
  <c r="AF16" i="1"/>
  <c r="AD16" i="1"/>
  <c r="AC16" i="1"/>
  <c r="AB16" i="1"/>
  <c r="AA16" i="1"/>
  <c r="Z16" i="1"/>
  <c r="V16" i="1"/>
  <c r="R16" i="1"/>
  <c r="K16" i="1"/>
  <c r="BH18" i="1"/>
  <c r="BG18" i="1"/>
  <c r="BE18" i="1"/>
  <c r="AP18" i="1"/>
  <c r="AN18" i="1"/>
  <c r="AL18" i="1"/>
  <c r="AJ18" i="1"/>
  <c r="AH18" i="1"/>
  <c r="AF18" i="1"/>
  <c r="AD18" i="1"/>
  <c r="AC18" i="1"/>
  <c r="AB18" i="1"/>
  <c r="AA18" i="1"/>
  <c r="Z18" i="1"/>
  <c r="V18" i="1"/>
  <c r="R18" i="1"/>
  <c r="K18" i="1"/>
  <c r="BH43" i="1"/>
  <c r="BG43" i="1"/>
  <c r="BE43" i="1"/>
  <c r="AP43" i="1"/>
  <c r="AN43" i="1"/>
  <c r="AL43" i="1"/>
  <c r="AJ43" i="1"/>
  <c r="AH43" i="1"/>
  <c r="AF43" i="1"/>
  <c r="AD43" i="1"/>
  <c r="AC43" i="1"/>
  <c r="AB43" i="1"/>
  <c r="AA43" i="1"/>
  <c r="Z43" i="1"/>
  <c r="V43" i="1"/>
  <c r="R43" i="1"/>
  <c r="I43" i="1"/>
  <c r="K43" i="1" s="1"/>
  <c r="BH39" i="1"/>
  <c r="BG39" i="1"/>
  <c r="BE39" i="1"/>
  <c r="AP39" i="1"/>
  <c r="AN39" i="1"/>
  <c r="AL39" i="1"/>
  <c r="AJ39" i="1"/>
  <c r="AH39" i="1"/>
  <c r="AF39" i="1"/>
  <c r="AD39" i="1"/>
  <c r="AC39" i="1"/>
  <c r="AB39" i="1"/>
  <c r="AA39" i="1"/>
  <c r="Z39" i="1"/>
  <c r="V39" i="1"/>
  <c r="R39" i="1"/>
  <c r="I39" i="1"/>
  <c r="K39" i="1" s="1"/>
  <c r="BH42" i="1"/>
  <c r="BG42" i="1"/>
  <c r="BE42" i="1"/>
  <c r="AP42" i="1"/>
  <c r="AN42" i="1"/>
  <c r="AL42" i="1"/>
  <c r="AJ42" i="1"/>
  <c r="AH42" i="1"/>
  <c r="AF42" i="1"/>
  <c r="AD42" i="1"/>
  <c r="AC42" i="1"/>
  <c r="AB42" i="1"/>
  <c r="AA42" i="1"/>
  <c r="Z42" i="1"/>
  <c r="V42" i="1"/>
  <c r="R42" i="1"/>
  <c r="I42" i="1"/>
  <c r="K42" i="1" s="1"/>
  <c r="BH38" i="1"/>
  <c r="BG38" i="1"/>
  <c r="BE38" i="1"/>
  <c r="AP38" i="1"/>
  <c r="AN38" i="1"/>
  <c r="AL38" i="1"/>
  <c r="AJ38" i="1"/>
  <c r="AH38" i="1"/>
  <c r="AF38" i="1"/>
  <c r="AD38" i="1"/>
  <c r="AC38" i="1"/>
  <c r="AB38" i="1"/>
  <c r="AA38" i="1"/>
  <c r="Z38" i="1"/>
  <c r="V38" i="1"/>
  <c r="R38" i="1"/>
  <c r="I38" i="1"/>
  <c r="K38" i="1" s="1"/>
  <c r="BH40" i="1"/>
  <c r="BG40" i="1"/>
  <c r="BE40" i="1"/>
  <c r="AP40" i="1"/>
  <c r="AN40" i="1"/>
  <c r="AL40" i="1"/>
  <c r="AJ40" i="1"/>
  <c r="AH40" i="1"/>
  <c r="AF40" i="1"/>
  <c r="AD40" i="1"/>
  <c r="AC40" i="1"/>
  <c r="AB40" i="1"/>
  <c r="AA40" i="1"/>
  <c r="Z40" i="1"/>
  <c r="V40" i="1"/>
  <c r="R40" i="1"/>
  <c r="K40" i="1"/>
  <c r="M40" i="1" s="1"/>
  <c r="N40" i="1" s="1"/>
  <c r="BH37" i="1"/>
  <c r="BG37" i="1"/>
  <c r="BE37" i="1"/>
  <c r="AP37" i="1"/>
  <c r="AN37" i="1"/>
  <c r="AL37" i="1"/>
  <c r="AJ37" i="1"/>
  <c r="AH37" i="1"/>
  <c r="AF37" i="1"/>
  <c r="AD37" i="1"/>
  <c r="AC37" i="1"/>
  <c r="AB37" i="1"/>
  <c r="AA37" i="1"/>
  <c r="Z37" i="1"/>
  <c r="V37" i="1"/>
  <c r="R37" i="1"/>
  <c r="I37" i="1"/>
  <c r="K37" i="1" s="1"/>
  <c r="BH41" i="1"/>
  <c r="BG41" i="1"/>
  <c r="BE41" i="1"/>
  <c r="AP41" i="1"/>
  <c r="AN41" i="1"/>
  <c r="AL41" i="1"/>
  <c r="AJ41" i="1"/>
  <c r="AH41" i="1"/>
  <c r="AF41" i="1"/>
  <c r="AD41" i="1"/>
  <c r="AC41" i="1"/>
  <c r="AB41" i="1"/>
  <c r="AA41" i="1"/>
  <c r="Z41" i="1"/>
  <c r="V41" i="1"/>
  <c r="R41" i="1"/>
  <c r="I41" i="1"/>
  <c r="K41" i="1" s="1"/>
  <c r="BH36" i="1"/>
  <c r="BG36" i="1"/>
  <c r="BE36" i="1"/>
  <c r="AP36" i="1"/>
  <c r="AN36" i="1"/>
  <c r="AL36" i="1"/>
  <c r="AJ36" i="1"/>
  <c r="AH36" i="1"/>
  <c r="AF36" i="1"/>
  <c r="AD36" i="1"/>
  <c r="AC36" i="1"/>
  <c r="AB36" i="1"/>
  <c r="AA36" i="1"/>
  <c r="Z36" i="1"/>
  <c r="V36" i="1"/>
  <c r="R36" i="1"/>
  <c r="I36" i="1"/>
  <c r="K36" i="1" s="1"/>
  <c r="BH31" i="1"/>
  <c r="BG31" i="1"/>
  <c r="BE31" i="1"/>
  <c r="AP31" i="1"/>
  <c r="AN31" i="1"/>
  <c r="AL31" i="1"/>
  <c r="AJ31" i="1"/>
  <c r="AH31" i="1"/>
  <c r="AF31" i="1"/>
  <c r="AD31" i="1"/>
  <c r="AC31" i="1"/>
  <c r="AB31" i="1"/>
  <c r="AA31" i="1"/>
  <c r="V31" i="1"/>
  <c r="R31" i="1"/>
  <c r="I31" i="1"/>
  <c r="K31" i="1" s="1"/>
  <c r="BH35" i="1"/>
  <c r="BG35" i="1"/>
  <c r="BE35" i="1"/>
  <c r="AP35" i="1"/>
  <c r="AN35" i="1"/>
  <c r="AL35" i="1"/>
  <c r="AJ35" i="1"/>
  <c r="AH35" i="1"/>
  <c r="AF35" i="1"/>
  <c r="AD35" i="1"/>
  <c r="AC35" i="1"/>
  <c r="AB35" i="1"/>
  <c r="AA35" i="1"/>
  <c r="Z35" i="1"/>
  <c r="V35" i="1"/>
  <c r="R35" i="1"/>
  <c r="I35" i="1"/>
  <c r="K35" i="1" s="1"/>
  <c r="BH30" i="1"/>
  <c r="BG30" i="1"/>
  <c r="BE30" i="1"/>
  <c r="AP30" i="1"/>
  <c r="AN30" i="1"/>
  <c r="AL30" i="1"/>
  <c r="AJ30" i="1"/>
  <c r="AH30" i="1"/>
  <c r="AF30" i="1"/>
  <c r="AD30" i="1"/>
  <c r="AC30" i="1"/>
  <c r="AB30" i="1"/>
  <c r="AA30" i="1"/>
  <c r="V30" i="1"/>
  <c r="R30" i="1"/>
  <c r="I30" i="1"/>
  <c r="K30" i="1" s="1"/>
  <c r="BH34" i="1"/>
  <c r="BG34" i="1"/>
  <c r="BE34" i="1"/>
  <c r="AP34" i="1"/>
  <c r="AN34" i="1"/>
  <c r="AL34" i="1"/>
  <c r="AJ34" i="1"/>
  <c r="AH34" i="1"/>
  <c r="AF34" i="1"/>
  <c r="AD34" i="1"/>
  <c r="AC34" i="1"/>
  <c r="AB34" i="1"/>
  <c r="AA34" i="1"/>
  <c r="Z34" i="1"/>
  <c r="R34" i="1"/>
  <c r="L34" i="1"/>
  <c r="I34" i="1"/>
  <c r="K34" i="1" s="1"/>
  <c r="BH33" i="1"/>
  <c r="BG33" i="1"/>
  <c r="BE33" i="1"/>
  <c r="AP33" i="1"/>
  <c r="AN33" i="1"/>
  <c r="AL33" i="1"/>
  <c r="AJ33" i="1"/>
  <c r="AH33" i="1"/>
  <c r="AF33" i="1"/>
  <c r="AD33" i="1"/>
  <c r="AC33" i="1"/>
  <c r="AB33" i="1"/>
  <c r="AA33" i="1"/>
  <c r="Z33" i="1"/>
  <c r="V33" i="1"/>
  <c r="R33" i="1"/>
  <c r="L33" i="1"/>
  <c r="I33" i="1"/>
  <c r="K33" i="1" s="1"/>
  <c r="H11" i="2" l="1"/>
  <c r="M11" i="2"/>
  <c r="H10" i="2"/>
  <c r="M10" i="2"/>
  <c r="AU22" i="1"/>
  <c r="AY31" i="1"/>
  <c r="AY34" i="1"/>
  <c r="AU77" i="1"/>
  <c r="W35" i="1"/>
  <c r="X35" i="1"/>
  <c r="X36" i="1"/>
  <c r="W36" i="1"/>
  <c r="X40" i="1"/>
  <c r="W40" i="1"/>
  <c r="W23" i="1"/>
  <c r="X23" i="1"/>
  <c r="X22" i="1"/>
  <c r="W22" i="1"/>
  <c r="W12" i="1"/>
  <c r="X12" i="1"/>
  <c r="W69" i="1"/>
  <c r="X69" i="1"/>
  <c r="X61" i="1"/>
  <c r="W61" i="1"/>
  <c r="X54" i="1"/>
  <c r="W54" i="1"/>
  <c r="X56" i="1"/>
  <c r="W56" i="1"/>
  <c r="X81" i="1"/>
  <c r="W81" i="1"/>
  <c r="X31" i="1"/>
  <c r="W31" i="1"/>
  <c r="W41" i="1"/>
  <c r="X41" i="1"/>
  <c r="X38" i="1"/>
  <c r="W38" i="1"/>
  <c r="X20" i="1"/>
  <c r="W20" i="1"/>
  <c r="W24" i="1"/>
  <c r="X24" i="1"/>
  <c r="X28" i="1"/>
  <c r="W28" i="1"/>
  <c r="AW47" i="1"/>
  <c r="X48" i="1"/>
  <c r="W48" i="1"/>
  <c r="X74" i="1"/>
  <c r="W74" i="1"/>
  <c r="W82" i="1"/>
  <c r="X82" i="1"/>
  <c r="X57" i="1"/>
  <c r="W57" i="1"/>
  <c r="X65" i="1"/>
  <c r="W65" i="1"/>
  <c r="X63" i="1"/>
  <c r="W63" i="1"/>
  <c r="X53" i="1"/>
  <c r="W53" i="1"/>
  <c r="W75" i="1"/>
  <c r="X75" i="1"/>
  <c r="X70" i="1"/>
  <c r="W70" i="1"/>
  <c r="W66" i="1"/>
  <c r="X66" i="1"/>
  <c r="X39" i="1"/>
  <c r="W39" i="1"/>
  <c r="X18" i="1"/>
  <c r="W18" i="1"/>
  <c r="X15" i="1"/>
  <c r="W15" i="1"/>
  <c r="X13" i="1"/>
  <c r="W13" i="1"/>
  <c r="W47" i="1"/>
  <c r="X47" i="1"/>
  <c r="W50" i="1"/>
  <c r="X50" i="1"/>
  <c r="X29" i="1"/>
  <c r="W29" i="1"/>
  <c r="X19" i="1"/>
  <c r="W19" i="1"/>
  <c r="X51" i="1"/>
  <c r="W51" i="1"/>
  <c r="X68" i="1"/>
  <c r="W68" i="1"/>
  <c r="X59" i="1"/>
  <c r="W59" i="1"/>
  <c r="W62" i="1"/>
  <c r="X62" i="1"/>
  <c r="X77" i="1"/>
  <c r="W77" i="1"/>
  <c r="AT77" i="1"/>
  <c r="W72" i="1"/>
  <c r="X72" i="1"/>
  <c r="X80" i="1"/>
  <c r="W80" i="1"/>
  <c r="X42" i="1"/>
  <c r="W42" i="1"/>
  <c r="X25" i="1"/>
  <c r="W25" i="1"/>
  <c r="X43" i="1"/>
  <c r="W43" i="1"/>
  <c r="W32" i="1"/>
  <c r="X32" i="1"/>
  <c r="W52" i="1"/>
  <c r="X52" i="1"/>
  <c r="X21" i="1"/>
  <c r="W21" i="1"/>
  <c r="X27" i="1"/>
  <c r="W27" i="1"/>
  <c r="W14" i="1"/>
  <c r="X14" i="1"/>
  <c r="X71" i="1"/>
  <c r="W71" i="1"/>
  <c r="W60" i="1"/>
  <c r="X60" i="1"/>
  <c r="W79" i="1"/>
  <c r="X79" i="1"/>
  <c r="M33" i="1"/>
  <c r="N33" i="1" s="1"/>
  <c r="W37" i="1"/>
  <c r="X37" i="1"/>
  <c r="W16" i="1"/>
  <c r="X16" i="1"/>
  <c r="X11" i="1"/>
  <c r="W11" i="1"/>
  <c r="X44" i="1"/>
  <c r="W44" i="1"/>
  <c r="X49" i="1"/>
  <c r="W49" i="1"/>
  <c r="W45" i="1"/>
  <c r="X45" i="1"/>
  <c r="X67" i="1"/>
  <c r="W67" i="1"/>
  <c r="X58" i="1"/>
  <c r="W58" i="1"/>
  <c r="X73" i="1"/>
  <c r="W73" i="1"/>
  <c r="W76" i="1"/>
  <c r="X76" i="1"/>
  <c r="W55" i="1"/>
  <c r="X55" i="1"/>
  <c r="W30" i="1"/>
  <c r="X30" i="1"/>
  <c r="AW72" i="1"/>
  <c r="W33" i="1"/>
  <c r="X33" i="1"/>
  <c r="AS47" i="1"/>
  <c r="AS72" i="1"/>
  <c r="BK84" i="1"/>
  <c r="AR32" i="1"/>
  <c r="AR49" i="1"/>
  <c r="AR34" i="1"/>
  <c r="AR40" i="1"/>
  <c r="AR61" i="1"/>
  <c r="AV57" i="1"/>
  <c r="AR50" i="1"/>
  <c r="AR62" i="1"/>
  <c r="AR80" i="1"/>
  <c r="AR51" i="1"/>
  <c r="AR72" i="1"/>
  <c r="AR42" i="1"/>
  <c r="AR54" i="1"/>
  <c r="AU74" i="1"/>
  <c r="AU59" i="1"/>
  <c r="AR39" i="1"/>
  <c r="AR15" i="1"/>
  <c r="AR68" i="1"/>
  <c r="BG84" i="1"/>
  <c r="BR33" i="1"/>
  <c r="BR84" i="1" s="1"/>
  <c r="BP84" i="1"/>
  <c r="BH84" i="1"/>
  <c r="AZ73" i="1"/>
  <c r="AZ19" i="1"/>
  <c r="AZ77" i="1"/>
  <c r="M73" i="1"/>
  <c r="N73" i="1" s="1"/>
  <c r="M80" i="1"/>
  <c r="N80" i="1" s="1"/>
  <c r="M47" i="1"/>
  <c r="N47" i="1" s="1"/>
  <c r="M45" i="1"/>
  <c r="N45" i="1" s="1"/>
  <c r="AR30" i="1"/>
  <c r="AR74" i="1"/>
  <c r="AR65" i="1"/>
  <c r="AR38" i="1"/>
  <c r="AR22" i="1"/>
  <c r="AR14" i="1"/>
  <c r="AR59" i="1"/>
  <c r="AR55" i="1"/>
  <c r="AR37" i="1"/>
  <c r="AR48" i="1"/>
  <c r="AR67" i="1"/>
  <c r="AR58" i="1"/>
  <c r="AR33" i="1"/>
  <c r="AR43" i="1"/>
  <c r="AR18" i="1"/>
  <c r="AR16" i="1"/>
  <c r="AR52" i="1"/>
  <c r="AR29" i="1"/>
  <c r="AR71" i="1"/>
  <c r="AR82" i="1"/>
  <c r="AR69" i="1"/>
  <c r="AR63" i="1"/>
  <c r="AR35" i="1"/>
  <c r="AR31" i="1"/>
  <c r="AR21" i="1"/>
  <c r="AR20" i="1"/>
  <c r="AR23" i="1"/>
  <c r="AR24" i="1"/>
  <c r="AR25" i="1"/>
  <c r="AR12" i="1"/>
  <c r="AR28" i="1"/>
  <c r="AR27" i="1"/>
  <c r="AR19" i="1"/>
  <c r="AR77" i="1"/>
  <c r="AR73" i="1"/>
  <c r="AR76" i="1"/>
  <c r="AR36" i="1"/>
  <c r="AR41" i="1"/>
  <c r="AR11" i="1"/>
  <c r="AR13" i="1"/>
  <c r="AR44" i="1"/>
  <c r="AR47" i="1"/>
  <c r="AR45" i="1"/>
  <c r="AR57" i="1"/>
  <c r="AR60" i="1"/>
  <c r="AR56" i="1"/>
  <c r="AR53" i="1"/>
  <c r="AR79" i="1"/>
  <c r="AR75" i="1"/>
  <c r="AR70" i="1"/>
  <c r="AR81" i="1"/>
  <c r="AR66" i="1"/>
  <c r="M44" i="1"/>
  <c r="N44" i="1" s="1"/>
  <c r="M59" i="1"/>
  <c r="N59" i="1" s="1"/>
  <c r="M43" i="1"/>
  <c r="N43" i="1" s="1"/>
  <c r="M28" i="1"/>
  <c r="N28" i="1" s="1"/>
  <c r="M61" i="1"/>
  <c r="N61" i="1" s="1"/>
  <c r="AU39" i="1"/>
  <c r="AS41" i="1"/>
  <c r="AW41" i="1"/>
  <c r="AS19" i="1"/>
  <c r="AW19" i="1"/>
  <c r="AZ74" i="1"/>
  <c r="AU80" i="1"/>
  <c r="AZ13" i="1"/>
  <c r="AS79" i="1"/>
  <c r="AZ39" i="1"/>
  <c r="AT39" i="1"/>
  <c r="AS16" i="1"/>
  <c r="AW16" i="1"/>
  <c r="AS13" i="1"/>
  <c r="AW81" i="1"/>
  <c r="AV29" i="1"/>
  <c r="AY19" i="1"/>
  <c r="AV36" i="1"/>
  <c r="M42" i="1"/>
  <c r="N42" i="1" s="1"/>
  <c r="AV18" i="1"/>
  <c r="M20" i="1"/>
  <c r="N20" i="1" s="1"/>
  <c r="BM30" i="1"/>
  <c r="BS30" i="1" s="1"/>
  <c r="BT30" i="1" s="1"/>
  <c r="AZ36" i="1"/>
  <c r="M41" i="1"/>
  <c r="N41" i="1" s="1"/>
  <c r="BM40" i="1"/>
  <c r="BS40" i="1" s="1"/>
  <c r="BT40" i="1" s="1"/>
  <c r="M16" i="1"/>
  <c r="N16" i="1" s="1"/>
  <c r="AV21" i="1"/>
  <c r="AU25" i="1"/>
  <c r="BM25" i="1"/>
  <c r="BS25" i="1" s="1"/>
  <c r="BT25" i="1" s="1"/>
  <c r="M27" i="1"/>
  <c r="N27" i="1" s="1"/>
  <c r="BM11" i="1"/>
  <c r="BS11" i="1" s="1"/>
  <c r="BT11" i="1" s="1"/>
  <c r="M13" i="1"/>
  <c r="N13" i="1" s="1"/>
  <c r="AV19" i="1"/>
  <c r="BM51" i="1"/>
  <c r="BS51" i="1" s="1"/>
  <c r="BT51" i="1" s="1"/>
  <c r="M67" i="1"/>
  <c r="N67" i="1" s="1"/>
  <c r="AS74" i="1"/>
  <c r="AW74" i="1"/>
  <c r="M71" i="1"/>
  <c r="N71" i="1" s="1"/>
  <c r="AW63" i="1"/>
  <c r="AS73" i="1"/>
  <c r="M53" i="1"/>
  <c r="N53" i="1" s="1"/>
  <c r="M81" i="1"/>
  <c r="N81" i="1" s="1"/>
  <c r="M68" i="1"/>
  <c r="N68" i="1" s="1"/>
  <c r="M69" i="1"/>
  <c r="N69" i="1" s="1"/>
  <c r="BM73" i="1"/>
  <c r="BS73" i="1" s="1"/>
  <c r="BT73" i="1" s="1"/>
  <c r="M76" i="1"/>
  <c r="N76" i="1" s="1"/>
  <c r="M66" i="1"/>
  <c r="N66" i="1" s="1"/>
  <c r="M31" i="1"/>
  <c r="N31" i="1" s="1"/>
  <c r="BM31" i="1"/>
  <c r="BS31" i="1" s="1"/>
  <c r="BT31" i="1" s="1"/>
  <c r="BM36" i="1"/>
  <c r="BS36" i="1" s="1"/>
  <c r="BT36" i="1" s="1"/>
  <c r="BM42" i="1"/>
  <c r="BS42" i="1" s="1"/>
  <c r="BT42" i="1" s="1"/>
  <c r="BM18" i="1"/>
  <c r="BS18" i="1" s="1"/>
  <c r="BT18" i="1" s="1"/>
  <c r="BM12" i="1"/>
  <c r="BS12" i="1" s="1"/>
  <c r="BT12" i="1" s="1"/>
  <c r="BM13" i="1"/>
  <c r="BS13" i="1" s="1"/>
  <c r="BT13" i="1" s="1"/>
  <c r="BM49" i="1"/>
  <c r="BS49" i="1" s="1"/>
  <c r="BT49" i="1" s="1"/>
  <c r="M52" i="1"/>
  <c r="N52" i="1" s="1"/>
  <c r="AT71" i="1"/>
  <c r="M62" i="1"/>
  <c r="N62" i="1" s="1"/>
  <c r="AT20" i="1"/>
  <c r="AY74" i="1"/>
  <c r="AT57" i="1"/>
  <c r="AT31" i="1"/>
  <c r="AT24" i="1"/>
  <c r="AY81" i="1"/>
  <c r="M34" i="1"/>
  <c r="N34" i="1" s="1"/>
  <c r="BM33" i="1"/>
  <c r="M30" i="1"/>
  <c r="N30" i="1" s="1"/>
  <c r="AU65" i="1"/>
  <c r="AV43" i="1"/>
  <c r="M75" i="1"/>
  <c r="N75" i="1" s="1"/>
  <c r="BM75" i="1"/>
  <c r="BS75" i="1" s="1"/>
  <c r="BT75" i="1" s="1"/>
  <c r="BM65" i="1"/>
  <c r="BS65" i="1" s="1"/>
  <c r="BT65" i="1" s="1"/>
  <c r="BM60" i="1"/>
  <c r="BS60" i="1" s="1"/>
  <c r="BT60" i="1" s="1"/>
  <c r="BM74" i="1"/>
  <c r="BS74" i="1" s="1"/>
  <c r="BT74" i="1" s="1"/>
  <c r="BM53" i="1"/>
  <c r="BS53" i="1" s="1"/>
  <c r="BT53" i="1" s="1"/>
  <c r="BM61" i="1"/>
  <c r="BS61" i="1" s="1"/>
  <c r="BT61" i="1" s="1"/>
  <c r="BM59" i="1"/>
  <c r="BS59" i="1" s="1"/>
  <c r="BT59" i="1" s="1"/>
  <c r="BM71" i="1"/>
  <c r="BS71" i="1" s="1"/>
  <c r="BT71" i="1" s="1"/>
  <c r="BM35" i="1"/>
  <c r="BS35" i="1" s="1"/>
  <c r="BT35" i="1" s="1"/>
  <c r="M36" i="1"/>
  <c r="N36" i="1" s="1"/>
  <c r="AY41" i="1"/>
  <c r="AZ37" i="1"/>
  <c r="AT37" i="1"/>
  <c r="M38" i="1"/>
  <c r="N38" i="1" s="1"/>
  <c r="BM43" i="1"/>
  <c r="BS43" i="1" s="1"/>
  <c r="BT43" i="1" s="1"/>
  <c r="AZ18" i="1"/>
  <c r="BM20" i="1"/>
  <c r="BS20" i="1" s="1"/>
  <c r="BT20" i="1" s="1"/>
  <c r="M32" i="1"/>
  <c r="N32" i="1" s="1"/>
  <c r="AW11" i="1"/>
  <c r="AY13" i="1"/>
  <c r="AV13" i="1"/>
  <c r="AY47" i="1"/>
  <c r="AZ48" i="1"/>
  <c r="AT48" i="1"/>
  <c r="M50" i="1"/>
  <c r="N50" i="1" s="1"/>
  <c r="AY29" i="1"/>
  <c r="AS29" i="1"/>
  <c r="M19" i="1"/>
  <c r="N19" i="1" s="1"/>
  <c r="BM14" i="1"/>
  <c r="BS14" i="1" s="1"/>
  <c r="BT14" i="1" s="1"/>
  <c r="AU61" i="1"/>
  <c r="M54" i="1"/>
  <c r="N54" i="1" s="1"/>
  <c r="BM77" i="1"/>
  <c r="BS77" i="1" s="1"/>
  <c r="BT77" i="1" s="1"/>
  <c r="AS75" i="1"/>
  <c r="AU55" i="1"/>
  <c r="AU43" i="1"/>
  <c r="M24" i="1"/>
  <c r="N24" i="1" s="1"/>
  <c r="AY79" i="1"/>
  <c r="BM39" i="1"/>
  <c r="BS39" i="1" s="1"/>
  <c r="BT39" i="1" s="1"/>
  <c r="AZ43" i="1"/>
  <c r="M18" i="1"/>
  <c r="N18" i="1" s="1"/>
  <c r="AZ21" i="1"/>
  <c r="AT21" i="1"/>
  <c r="BM21" i="1"/>
  <c r="BS21" i="1" s="1"/>
  <c r="BT21" i="1" s="1"/>
  <c r="M23" i="1"/>
  <c r="N23" i="1" s="1"/>
  <c r="BM28" i="1"/>
  <c r="BS28" i="1" s="1"/>
  <c r="BT28" i="1" s="1"/>
  <c r="AU51" i="1"/>
  <c r="AT74" i="1"/>
  <c r="AW71" i="1"/>
  <c r="AS57" i="1"/>
  <c r="AS62" i="1"/>
  <c r="AW62" i="1"/>
  <c r="AW61" i="1"/>
  <c r="M72" i="1"/>
  <c r="N72" i="1" s="1"/>
  <c r="AW53" i="1"/>
  <c r="M70" i="1"/>
  <c r="N70" i="1" s="1"/>
  <c r="AV51" i="1"/>
  <c r="M82" i="1"/>
  <c r="N82" i="1" s="1"/>
  <c r="AZ57" i="1"/>
  <c r="AY60" i="1"/>
  <c r="AS60" i="1"/>
  <c r="M58" i="1"/>
  <c r="N58" i="1" s="1"/>
  <c r="M63" i="1"/>
  <c r="N63" i="1" s="1"/>
  <c r="AY73" i="1"/>
  <c r="AV73" i="1"/>
  <c r="AY76" i="1"/>
  <c r="AZ56" i="1"/>
  <c r="AT56" i="1"/>
  <c r="M79" i="1"/>
  <c r="N79" i="1" s="1"/>
  <c r="AZ75" i="1"/>
  <c r="AW70" i="1"/>
  <c r="AV35" i="1"/>
  <c r="AV37" i="1"/>
  <c r="AT40" i="1"/>
  <c r="AT42" i="1"/>
  <c r="AY43" i="1"/>
  <c r="AY16" i="1"/>
  <c r="AV48" i="1"/>
  <c r="AT49" i="1"/>
  <c r="AT52" i="1"/>
  <c r="AT54" i="1"/>
  <c r="AY72" i="1"/>
  <c r="AV56" i="1"/>
  <c r="AT53" i="1"/>
  <c r="AT75" i="1"/>
  <c r="AT66" i="1"/>
  <c r="AY45" i="1"/>
  <c r="AY69" i="1"/>
  <c r="AT33" i="1"/>
  <c r="AT30" i="1"/>
  <c r="AW25" i="1"/>
  <c r="AY32" i="1"/>
  <c r="AT28" i="1"/>
  <c r="AT13" i="1"/>
  <c r="AY51" i="1"/>
  <c r="AT68" i="1"/>
  <c r="AY57" i="1"/>
  <c r="AY62" i="1"/>
  <c r="AT73" i="1"/>
  <c r="AT70" i="1"/>
  <c r="G29" i="2"/>
  <c r="H9" i="2"/>
  <c r="AW38" i="1"/>
  <c r="AY24" i="1"/>
  <c r="AS24" i="1"/>
  <c r="AW24" i="1"/>
  <c r="AS32" i="1"/>
  <c r="AW32" i="1"/>
  <c r="AW27" i="1"/>
  <c r="AW49" i="1"/>
  <c r="AW29" i="1"/>
  <c r="AY30" i="1"/>
  <c r="AS30" i="1"/>
  <c r="AW30" i="1"/>
  <c r="AW37" i="1"/>
  <c r="AZ40" i="1"/>
  <c r="AS40" i="1"/>
  <c r="AY42" i="1"/>
  <c r="AS42" i="1"/>
  <c r="AW42" i="1"/>
  <c r="AV39" i="1"/>
  <c r="AW21" i="1"/>
  <c r="AY25" i="1"/>
  <c r="AS25" i="1"/>
  <c r="AY22" i="1"/>
  <c r="AV22" i="1"/>
  <c r="AZ28" i="1"/>
  <c r="AS28" i="1"/>
  <c r="AW48" i="1"/>
  <c r="AZ49" i="1"/>
  <c r="AS49" i="1"/>
  <c r="AZ29" i="1"/>
  <c r="AW51" i="1"/>
  <c r="AV74" i="1"/>
  <c r="AY71" i="1"/>
  <c r="AV71" i="1"/>
  <c r="AY53" i="1"/>
  <c r="AV53" i="1"/>
  <c r="AY75" i="1"/>
  <c r="AY40" i="1"/>
  <c r="AV40" i="1"/>
  <c r="AZ15" i="1"/>
  <c r="AV15" i="1"/>
  <c r="AU44" i="1"/>
  <c r="AY49" i="1"/>
  <c r="AV49" i="1"/>
  <c r="AT29" i="1"/>
  <c r="AZ71" i="1"/>
  <c r="AS71" i="1"/>
  <c r="AV77" i="1"/>
  <c r="AW56" i="1"/>
  <c r="AZ53" i="1"/>
  <c r="AS53" i="1"/>
  <c r="AY66" i="1"/>
  <c r="AU33" i="1"/>
  <c r="AV12" i="1"/>
  <c r="AW12" i="1"/>
  <c r="AU11" i="1"/>
  <c r="AU82" i="1"/>
  <c r="AU54" i="1"/>
  <c r="AW33" i="1"/>
  <c r="AU30" i="1"/>
  <c r="AY35" i="1"/>
  <c r="AS35" i="1"/>
  <c r="AW35" i="1"/>
  <c r="AW31" i="1"/>
  <c r="AU41" i="1"/>
  <c r="AZ38" i="1"/>
  <c r="AU38" i="1"/>
  <c r="AU16" i="1"/>
  <c r="AZ11" i="1"/>
  <c r="AY44" i="1"/>
  <c r="AS44" i="1"/>
  <c r="AW44" i="1"/>
  <c r="AU47" i="1"/>
  <c r="AU52" i="1"/>
  <c r="AV14" i="1"/>
  <c r="AW14" i="1"/>
  <c r="AU14" i="1"/>
  <c r="AY68" i="1"/>
  <c r="AS68" i="1"/>
  <c r="AW68" i="1"/>
  <c r="AY82" i="1"/>
  <c r="AS82" i="1"/>
  <c r="AW82" i="1"/>
  <c r="AZ60" i="1"/>
  <c r="AV60" i="1"/>
  <c r="AW59" i="1"/>
  <c r="AY54" i="1"/>
  <c r="AS54" i="1"/>
  <c r="AW54" i="1"/>
  <c r="AS76" i="1"/>
  <c r="AW76" i="1"/>
  <c r="AZ79" i="1"/>
  <c r="AU79" i="1"/>
  <c r="AZ33" i="1"/>
  <c r="AS33" i="1"/>
  <c r="AW34" i="1"/>
  <c r="AT35" i="1"/>
  <c r="AZ35" i="1"/>
  <c r="AZ31" i="1"/>
  <c r="AS31" i="1"/>
  <c r="AY36" i="1"/>
  <c r="AS36" i="1"/>
  <c r="AW36" i="1"/>
  <c r="AU37" i="1"/>
  <c r="AW40" i="1"/>
  <c r="AU42" i="1"/>
  <c r="AY39" i="1"/>
  <c r="AS39" i="1"/>
  <c r="AW39" i="1"/>
  <c r="AW43" i="1"/>
  <c r="AZ20" i="1"/>
  <c r="AS20" i="1"/>
  <c r="AW23" i="1"/>
  <c r="AZ25" i="1"/>
  <c r="AV25" i="1"/>
  <c r="AW22" i="1"/>
  <c r="AU12" i="1"/>
  <c r="AW28" i="1"/>
  <c r="AT11" i="1"/>
  <c r="AU13" i="1"/>
  <c r="AZ44" i="1"/>
  <c r="AV44" i="1"/>
  <c r="AU48" i="1"/>
  <c r="AW50" i="1"/>
  <c r="AU29" i="1"/>
  <c r="AT51" i="1"/>
  <c r="AS51" i="1"/>
  <c r="AZ67" i="1"/>
  <c r="AU67" i="1"/>
  <c r="AS69" i="1"/>
  <c r="AW69" i="1"/>
  <c r="AU57" i="1"/>
  <c r="AW60" i="1"/>
  <c r="AZ58" i="1"/>
  <c r="AV58" i="1"/>
  <c r="AV65" i="1"/>
  <c r="AW65" i="1"/>
  <c r="AT61" i="1"/>
  <c r="AS61" i="1"/>
  <c r="AV72" i="1"/>
  <c r="AU72" i="1"/>
  <c r="AW80" i="1"/>
  <c r="AU35" i="1"/>
  <c r="AU31" i="1"/>
  <c r="AU20" i="1"/>
  <c r="AU68" i="1"/>
  <c r="AV82" i="1"/>
  <c r="AT59" i="1"/>
  <c r="AS59" i="1"/>
  <c r="AU58" i="1"/>
  <c r="AU76" i="1"/>
  <c r="AY33" i="1"/>
  <c r="AV33" i="1"/>
  <c r="AZ34" i="1"/>
  <c r="AU34" i="1"/>
  <c r="AV31" i="1"/>
  <c r="AU36" i="1"/>
  <c r="AU40" i="1"/>
  <c r="AT43" i="1"/>
  <c r="AS43" i="1"/>
  <c r="AU18" i="1"/>
  <c r="AY20" i="1"/>
  <c r="AV20" i="1"/>
  <c r="AZ23" i="1"/>
  <c r="AU23" i="1"/>
  <c r="AT22" i="1"/>
  <c r="AS22" i="1"/>
  <c r="AU15" i="1"/>
  <c r="AU28" i="1"/>
  <c r="AV11" i="1"/>
  <c r="AZ50" i="1"/>
  <c r="AU50" i="1"/>
  <c r="AU45" i="1"/>
  <c r="AZ14" i="1"/>
  <c r="AT14" i="1"/>
  <c r="AU69" i="1"/>
  <c r="AU60" i="1"/>
  <c r="AY59" i="1"/>
  <c r="AV59" i="1"/>
  <c r="AV55" i="1"/>
  <c r="AW55" i="1"/>
  <c r="AZ55" i="1"/>
  <c r="AT80" i="1"/>
  <c r="AS80" i="1"/>
  <c r="AY18" i="1"/>
  <c r="AS18" i="1"/>
  <c r="AW18" i="1"/>
  <c r="AU21" i="1"/>
  <c r="AW20" i="1"/>
  <c r="AU24" i="1"/>
  <c r="AT25" i="1"/>
  <c r="AZ22" i="1"/>
  <c r="AY15" i="1"/>
  <c r="AS15" i="1"/>
  <c r="AW15" i="1"/>
  <c r="AU32" i="1"/>
  <c r="AZ12" i="1"/>
  <c r="AT12" i="1"/>
  <c r="AY28" i="1"/>
  <c r="AV28" i="1"/>
  <c r="AZ27" i="1"/>
  <c r="AU27" i="1"/>
  <c r="AY11" i="1"/>
  <c r="AS11" i="1"/>
  <c r="AW13" i="1"/>
  <c r="AU49" i="1"/>
  <c r="AY52" i="1"/>
  <c r="AS52" i="1"/>
  <c r="AW52" i="1"/>
  <c r="AU19" i="1"/>
  <c r="AS45" i="1"/>
  <c r="AW45" i="1"/>
  <c r="AZ51" i="1"/>
  <c r="AW67" i="1"/>
  <c r="AU71" i="1"/>
  <c r="AZ82" i="1"/>
  <c r="AW57" i="1"/>
  <c r="AT60" i="1"/>
  <c r="AZ59" i="1"/>
  <c r="AY58" i="1"/>
  <c r="AS58" i="1"/>
  <c r="AW58" i="1"/>
  <c r="AU62" i="1"/>
  <c r="AZ65" i="1"/>
  <c r="AT65" i="1"/>
  <c r="AY61" i="1"/>
  <c r="AV61" i="1"/>
  <c r="AZ63" i="1"/>
  <c r="AU63" i="1"/>
  <c r="AY77" i="1"/>
  <c r="AS77" i="1"/>
  <c r="AW77" i="1"/>
  <c r="AW73" i="1"/>
  <c r="AU53" i="1"/>
  <c r="AU70" i="1"/>
  <c r="AZ80" i="1"/>
  <c r="AZ61" i="1"/>
  <c r="AU73" i="1"/>
  <c r="AZ72" i="1"/>
  <c r="AU56" i="1"/>
  <c r="AW75" i="1"/>
  <c r="AT55" i="1"/>
  <c r="AY80" i="1"/>
  <c r="AV80" i="1"/>
  <c r="AS34" i="1"/>
  <c r="AT41" i="1"/>
  <c r="AS38" i="1"/>
  <c r="AT16" i="1"/>
  <c r="AS23" i="1"/>
  <c r="AY23" i="1"/>
  <c r="AT32" i="1"/>
  <c r="AS27" i="1"/>
  <c r="AY27" i="1"/>
  <c r="AT47" i="1"/>
  <c r="AS50" i="1"/>
  <c r="AY50" i="1"/>
  <c r="AT45" i="1"/>
  <c r="AS67" i="1"/>
  <c r="AY67" i="1"/>
  <c r="AT69" i="1"/>
  <c r="AT62" i="1"/>
  <c r="AS63" i="1"/>
  <c r="AY63" i="1"/>
  <c r="AT76" i="1"/>
  <c r="AU81" i="1"/>
  <c r="AS81" i="1"/>
  <c r="AU66" i="1"/>
  <c r="AW66" i="1"/>
  <c r="AZ30" i="1"/>
  <c r="AT36" i="1"/>
  <c r="AV41" i="1"/>
  <c r="M37" i="1"/>
  <c r="N37" i="1" s="1"/>
  <c r="AS37" i="1"/>
  <c r="AY37" i="1"/>
  <c r="AZ42" i="1"/>
  <c r="AT18" i="1"/>
  <c r="AV16" i="1"/>
  <c r="M21" i="1"/>
  <c r="N21" i="1" s="1"/>
  <c r="AS21" i="1"/>
  <c r="AY21" i="1"/>
  <c r="AZ24" i="1"/>
  <c r="AT15" i="1"/>
  <c r="AV32" i="1"/>
  <c r="M12" i="1"/>
  <c r="N12" i="1" s="1"/>
  <c r="AS12" i="1"/>
  <c r="AY12" i="1"/>
  <c r="AT44" i="1"/>
  <c r="AV47" i="1"/>
  <c r="M48" i="1"/>
  <c r="N48" i="1" s="1"/>
  <c r="AS48" i="1"/>
  <c r="AY48" i="1"/>
  <c r="AZ52" i="1"/>
  <c r="AT19" i="1"/>
  <c r="BM19" i="1"/>
  <c r="BS19" i="1" s="1"/>
  <c r="BT19" i="1" s="1"/>
  <c r="AV45" i="1"/>
  <c r="M14" i="1"/>
  <c r="N14" i="1" s="1"/>
  <c r="AS14" i="1"/>
  <c r="AY14" i="1"/>
  <c r="AZ68" i="1"/>
  <c r="BM68" i="1"/>
  <c r="BS68" i="1" s="1"/>
  <c r="BT68" i="1" s="1"/>
  <c r="AT82" i="1"/>
  <c r="AV69" i="1"/>
  <c r="AT58" i="1"/>
  <c r="BM58" i="1"/>
  <c r="BS58" i="1" s="1"/>
  <c r="BT58" i="1" s="1"/>
  <c r="AV62" i="1"/>
  <c r="M65" i="1"/>
  <c r="N65" i="1" s="1"/>
  <c r="AS65" i="1"/>
  <c r="AY65" i="1"/>
  <c r="AZ54" i="1"/>
  <c r="BM54" i="1"/>
  <c r="BS54" i="1" s="1"/>
  <c r="BT54" i="1" s="1"/>
  <c r="AT72" i="1"/>
  <c r="BM72" i="1"/>
  <c r="BS72" i="1" s="1"/>
  <c r="BT72" i="1" s="1"/>
  <c r="AV76" i="1"/>
  <c r="M56" i="1"/>
  <c r="N56" i="1" s="1"/>
  <c r="AS56" i="1"/>
  <c r="AY56" i="1"/>
  <c r="AV79" i="1"/>
  <c r="AU75" i="1"/>
  <c r="AZ70" i="1"/>
  <c r="AS70" i="1"/>
  <c r="AY70" i="1"/>
  <c r="AV81" i="1"/>
  <c r="AV66" i="1"/>
  <c r="BM55" i="1"/>
  <c r="BS55" i="1" s="1"/>
  <c r="BT55" i="1" s="1"/>
  <c r="BM80" i="1"/>
  <c r="BS80" i="1" s="1"/>
  <c r="BT80" i="1" s="1"/>
  <c r="AY38" i="1"/>
  <c r="AV34" i="1"/>
  <c r="AV38" i="1"/>
  <c r="AV23" i="1"/>
  <c r="AV27" i="1"/>
  <c r="AV50" i="1"/>
  <c r="AV67" i="1"/>
  <c r="AV63" i="1"/>
  <c r="AW79" i="1"/>
  <c r="AS66" i="1"/>
  <c r="BM66" i="1"/>
  <c r="BS66" i="1" s="1"/>
  <c r="BT66" i="1" s="1"/>
  <c r="AT34" i="1"/>
  <c r="BM34" i="1"/>
  <c r="BS34" i="1" s="1"/>
  <c r="BT34" i="1" s="1"/>
  <c r="AV30" i="1"/>
  <c r="M35" i="1"/>
  <c r="N35" i="1" s="1"/>
  <c r="AZ41" i="1"/>
  <c r="BM41" i="1"/>
  <c r="AT38" i="1"/>
  <c r="AV42" i="1"/>
  <c r="M39" i="1"/>
  <c r="N39" i="1" s="1"/>
  <c r="AZ16" i="1"/>
  <c r="BM16" i="1"/>
  <c r="BS16" i="1" s="1"/>
  <c r="BT16" i="1" s="1"/>
  <c r="AT23" i="1"/>
  <c r="AV24" i="1"/>
  <c r="M25" i="1"/>
  <c r="N25" i="1" s="1"/>
  <c r="AZ32" i="1"/>
  <c r="BM32" i="1"/>
  <c r="BS32" i="1" s="1"/>
  <c r="BT32" i="1" s="1"/>
  <c r="AT27" i="1"/>
  <c r="M11" i="1"/>
  <c r="N11" i="1" s="1"/>
  <c r="AZ47" i="1"/>
  <c r="BM47" i="1"/>
  <c r="BS47" i="1" s="1"/>
  <c r="BT47" i="1" s="1"/>
  <c r="AT50" i="1"/>
  <c r="AV52" i="1"/>
  <c r="M29" i="1"/>
  <c r="N29" i="1" s="1"/>
  <c r="AZ45" i="1"/>
  <c r="BM45" i="1"/>
  <c r="BS45" i="1" s="1"/>
  <c r="BT45" i="1" s="1"/>
  <c r="AT67" i="1"/>
  <c r="AV68" i="1"/>
  <c r="M74" i="1"/>
  <c r="N74" i="1" s="1"/>
  <c r="AZ69" i="1"/>
  <c r="BM69" i="1"/>
  <c r="BS69" i="1" s="1"/>
  <c r="BT69" i="1" s="1"/>
  <c r="M60" i="1"/>
  <c r="N60" i="1" s="1"/>
  <c r="AZ62" i="1"/>
  <c r="AT63" i="1"/>
  <c r="AV54" i="1"/>
  <c r="M77" i="1"/>
  <c r="N77" i="1" s="1"/>
  <c r="AZ76" i="1"/>
  <c r="BM76" i="1"/>
  <c r="BS76" i="1" s="1"/>
  <c r="BT76" i="1" s="1"/>
  <c r="AV70" i="1"/>
  <c r="BM70" i="1"/>
  <c r="BS70" i="1" s="1"/>
  <c r="BT70" i="1" s="1"/>
  <c r="AZ81" i="1"/>
  <c r="AT81" i="1"/>
  <c r="M55" i="1"/>
  <c r="N55" i="1" s="1"/>
  <c r="AS55" i="1"/>
  <c r="AY55" i="1"/>
  <c r="AT79" i="1"/>
  <c r="AV75" i="1"/>
  <c r="AZ66" i="1"/>
  <c r="H29" i="2" l="1"/>
  <c r="BS33" i="1"/>
  <c r="BT33" i="1" s="1"/>
  <c r="AS84" i="1"/>
  <c r="AW84" i="1"/>
  <c r="AR84" i="1"/>
  <c r="AU84" i="1"/>
  <c r="AV84" i="1"/>
  <c r="AZ84" i="1"/>
  <c r="AT84" i="1"/>
  <c r="AY84" i="1"/>
  <c r="BS41" i="1"/>
  <c r="BT41" i="1" s="1"/>
  <c r="AX19" i="1"/>
  <c r="BA19" i="1" s="1"/>
  <c r="BB19" i="1" s="1"/>
  <c r="BC19" i="1" s="1"/>
  <c r="BM44" i="1"/>
  <c r="BS44" i="1" s="1"/>
  <c r="BT44" i="1" s="1"/>
  <c r="BM27" i="1"/>
  <c r="BS27" i="1" s="1"/>
  <c r="BT27" i="1" s="1"/>
  <c r="BM79" i="1"/>
  <c r="BS79" i="1" s="1"/>
  <c r="BT79" i="1" s="1"/>
  <c r="BM50" i="1"/>
  <c r="BS50" i="1" s="1"/>
  <c r="BT50" i="1" s="1"/>
  <c r="BM62" i="1"/>
  <c r="BS62" i="1" s="1"/>
  <c r="BT62" i="1" s="1"/>
  <c r="BM52" i="1"/>
  <c r="BS52" i="1" s="1"/>
  <c r="BT52" i="1" s="1"/>
  <c r="AX74" i="1"/>
  <c r="BA74" i="1" s="1"/>
  <c r="BB74" i="1" s="1"/>
  <c r="BC74" i="1" s="1"/>
  <c r="BM22" i="1"/>
  <c r="BS22" i="1" s="1"/>
  <c r="BT22" i="1" s="1"/>
  <c r="BM38" i="1"/>
  <c r="BS38" i="1" s="1"/>
  <c r="BT38" i="1" s="1"/>
  <c r="BM23" i="1"/>
  <c r="BS23" i="1" s="1"/>
  <c r="BT23" i="1" s="1"/>
  <c r="BM15" i="1"/>
  <c r="BS15" i="1" s="1"/>
  <c r="BT15" i="1" s="1"/>
  <c r="BM57" i="1"/>
  <c r="BS57" i="1" s="1"/>
  <c r="BT57" i="1" s="1"/>
  <c r="BM37" i="1"/>
  <c r="BS37" i="1" s="1"/>
  <c r="BT37" i="1" s="1"/>
  <c r="BM56" i="1"/>
  <c r="BS56" i="1" s="1"/>
  <c r="BT56" i="1" s="1"/>
  <c r="BM29" i="1"/>
  <c r="BS29" i="1" s="1"/>
  <c r="BT29" i="1" s="1"/>
  <c r="BM24" i="1"/>
  <c r="BS24" i="1" s="1"/>
  <c r="BT24" i="1" s="1"/>
  <c r="BM48" i="1"/>
  <c r="BS48" i="1" s="1"/>
  <c r="BT48" i="1" s="1"/>
  <c r="BM81" i="1"/>
  <c r="BS81" i="1" s="1"/>
  <c r="BT81" i="1" s="1"/>
  <c r="BM82" i="1"/>
  <c r="BS82" i="1" s="1"/>
  <c r="BT82" i="1" s="1"/>
  <c r="BM67" i="1"/>
  <c r="BS67" i="1" s="1"/>
  <c r="BT67" i="1" s="1"/>
  <c r="BM63" i="1"/>
  <c r="BS63" i="1" s="1"/>
  <c r="BT63" i="1" s="1"/>
  <c r="AX25" i="1"/>
  <c r="BA25" i="1" s="1"/>
  <c r="BB25" i="1" s="1"/>
  <c r="BC25" i="1" s="1"/>
  <c r="AX22" i="1"/>
  <c r="BA22" i="1" s="1"/>
  <c r="BB22" i="1" s="1"/>
  <c r="BC22" i="1" s="1"/>
  <c r="AX51" i="1"/>
  <c r="BA51" i="1" s="1"/>
  <c r="BB51" i="1" s="1"/>
  <c r="BC51" i="1" s="1"/>
  <c r="AX35" i="1"/>
  <c r="BA35" i="1" s="1"/>
  <c r="BB35" i="1" s="1"/>
  <c r="BC35" i="1" s="1"/>
  <c r="AX21" i="1"/>
  <c r="BA21" i="1" s="1"/>
  <c r="BB21" i="1" s="1"/>
  <c r="BC21" i="1" s="1"/>
  <c r="AX80" i="1"/>
  <c r="BA80" i="1" s="1"/>
  <c r="BB80" i="1" s="1"/>
  <c r="BC80" i="1" s="1"/>
  <c r="AX73" i="1"/>
  <c r="BA73" i="1" s="1"/>
  <c r="BB73" i="1" s="1"/>
  <c r="BC73" i="1" s="1"/>
  <c r="AX59" i="1"/>
  <c r="BA59" i="1" s="1"/>
  <c r="BB59" i="1" s="1"/>
  <c r="BC59" i="1" s="1"/>
  <c r="AX39" i="1"/>
  <c r="BA39" i="1" s="1"/>
  <c r="BB39" i="1" s="1"/>
  <c r="BC39" i="1" s="1"/>
  <c r="AX60" i="1"/>
  <c r="BA60" i="1" s="1"/>
  <c r="BB60" i="1" s="1"/>
  <c r="BC60" i="1" s="1"/>
  <c r="AX77" i="1"/>
  <c r="BA77" i="1" s="1"/>
  <c r="BB77" i="1" s="1"/>
  <c r="BC77" i="1" s="1"/>
  <c r="AX71" i="1"/>
  <c r="BA71" i="1" s="1"/>
  <c r="BB71" i="1" s="1"/>
  <c r="BC71" i="1" s="1"/>
  <c r="AX49" i="1"/>
  <c r="BA49" i="1" s="1"/>
  <c r="BB49" i="1" s="1"/>
  <c r="BC49" i="1" s="1"/>
  <c r="AX29" i="1"/>
  <c r="BA29" i="1" s="1"/>
  <c r="BB29" i="1" s="1"/>
  <c r="BC29" i="1" s="1"/>
  <c r="AX18" i="1"/>
  <c r="BA18" i="1" s="1"/>
  <c r="BB18" i="1" s="1"/>
  <c r="BC18" i="1" s="1"/>
  <c r="AX53" i="1"/>
  <c r="BA53" i="1" s="1"/>
  <c r="BB53" i="1" s="1"/>
  <c r="BC53" i="1" s="1"/>
  <c r="AX61" i="1"/>
  <c r="BA61" i="1" s="1"/>
  <c r="BB61" i="1" s="1"/>
  <c r="BC61" i="1" s="1"/>
  <c r="AX40" i="1"/>
  <c r="BA40" i="1" s="1"/>
  <c r="BB40" i="1" s="1"/>
  <c r="BC40" i="1" s="1"/>
  <c r="AX54" i="1"/>
  <c r="BA54" i="1" s="1"/>
  <c r="BB54" i="1" s="1"/>
  <c r="BC54" i="1" s="1"/>
  <c r="AX68" i="1"/>
  <c r="BA68" i="1" s="1"/>
  <c r="BB68" i="1" s="1"/>
  <c r="BC68" i="1" s="1"/>
  <c r="AX52" i="1"/>
  <c r="BA52" i="1" s="1"/>
  <c r="BB52" i="1" s="1"/>
  <c r="BC52" i="1" s="1"/>
  <c r="AX24" i="1"/>
  <c r="BA24" i="1" s="1"/>
  <c r="BB24" i="1" s="1"/>
  <c r="BC24" i="1" s="1"/>
  <c r="AX42" i="1"/>
  <c r="BA42" i="1" s="1"/>
  <c r="BB42" i="1" s="1"/>
  <c r="BC42" i="1" s="1"/>
  <c r="AX30" i="1"/>
  <c r="BA30" i="1" s="1"/>
  <c r="BB30" i="1" s="1"/>
  <c r="BC30" i="1" s="1"/>
  <c r="AX72" i="1"/>
  <c r="BA72" i="1" s="1"/>
  <c r="BB72" i="1" s="1"/>
  <c r="BC72" i="1" s="1"/>
  <c r="AX65" i="1"/>
  <c r="AX62" i="1"/>
  <c r="BA62" i="1" s="1"/>
  <c r="BB62" i="1" s="1"/>
  <c r="BC62" i="1" s="1"/>
  <c r="AX82" i="1"/>
  <c r="BA82" i="1" s="1"/>
  <c r="BB82" i="1" s="1"/>
  <c r="BC82" i="1" s="1"/>
  <c r="AX14" i="1"/>
  <c r="BA14" i="1" s="1"/>
  <c r="BB14" i="1" s="1"/>
  <c r="BC14" i="1" s="1"/>
  <c r="AX45" i="1"/>
  <c r="BA45" i="1" s="1"/>
  <c r="BB45" i="1" s="1"/>
  <c r="BC45" i="1" s="1"/>
  <c r="AX44" i="1"/>
  <c r="BA44" i="1" s="1"/>
  <c r="BB44" i="1" s="1"/>
  <c r="BC44" i="1" s="1"/>
  <c r="AX12" i="1"/>
  <c r="BA12" i="1" s="1"/>
  <c r="BB12" i="1" s="1"/>
  <c r="BC12" i="1" s="1"/>
  <c r="AX32" i="1"/>
  <c r="BA32" i="1" s="1"/>
  <c r="BB32" i="1" s="1"/>
  <c r="BC32" i="1" s="1"/>
  <c r="AX55" i="1"/>
  <c r="BA55" i="1" s="1"/>
  <c r="BB55" i="1" s="1"/>
  <c r="BC55" i="1" s="1"/>
  <c r="AX28" i="1"/>
  <c r="AX33" i="1"/>
  <c r="AX57" i="1"/>
  <c r="BA57" i="1" s="1"/>
  <c r="BB57" i="1" s="1"/>
  <c r="BC57" i="1" s="1"/>
  <c r="AX13" i="1"/>
  <c r="BA13" i="1" s="1"/>
  <c r="BB13" i="1" s="1"/>
  <c r="BC13" i="1" s="1"/>
  <c r="AX11" i="1"/>
  <c r="BA11" i="1" s="1"/>
  <c r="BB11" i="1" s="1"/>
  <c r="BC11" i="1" s="1"/>
  <c r="AX36" i="1"/>
  <c r="BA36" i="1" s="1"/>
  <c r="BB36" i="1" s="1"/>
  <c r="BC36" i="1" s="1"/>
  <c r="AX70" i="1"/>
  <c r="BA70" i="1" s="1"/>
  <c r="BB70" i="1" s="1"/>
  <c r="BC70" i="1" s="1"/>
  <c r="AX56" i="1"/>
  <c r="BA56" i="1" s="1"/>
  <c r="BB56" i="1" s="1"/>
  <c r="BC56" i="1" s="1"/>
  <c r="AX76" i="1"/>
  <c r="BA76" i="1" s="1"/>
  <c r="BB76" i="1" s="1"/>
  <c r="BC76" i="1" s="1"/>
  <c r="AX58" i="1"/>
  <c r="BA58" i="1" s="1"/>
  <c r="BB58" i="1" s="1"/>
  <c r="BC58" i="1" s="1"/>
  <c r="AX48" i="1"/>
  <c r="BA48" i="1" s="1"/>
  <c r="BB48" i="1" s="1"/>
  <c r="BC48" i="1" s="1"/>
  <c r="AX47" i="1"/>
  <c r="BA47" i="1" s="1"/>
  <c r="BB47" i="1" s="1"/>
  <c r="BC47" i="1" s="1"/>
  <c r="AX15" i="1"/>
  <c r="BA15" i="1" s="1"/>
  <c r="BB15" i="1" s="1"/>
  <c r="BC15" i="1" s="1"/>
  <c r="AX37" i="1"/>
  <c r="BA37" i="1" s="1"/>
  <c r="BB37" i="1" s="1"/>
  <c r="BC37" i="1" s="1"/>
  <c r="AX41" i="1"/>
  <c r="BA41" i="1" s="1"/>
  <c r="AX43" i="1"/>
  <c r="BA43" i="1" s="1"/>
  <c r="BB43" i="1" s="1"/>
  <c r="BC43" i="1" s="1"/>
  <c r="AX69" i="1"/>
  <c r="BA69" i="1" s="1"/>
  <c r="BB69" i="1" s="1"/>
  <c r="BC69" i="1" s="1"/>
  <c r="AX16" i="1"/>
  <c r="BA16" i="1" s="1"/>
  <c r="BB16" i="1" s="1"/>
  <c r="BC16" i="1" s="1"/>
  <c r="AX67" i="1"/>
  <c r="BA67" i="1" s="1"/>
  <c r="BB67" i="1" s="1"/>
  <c r="BC67" i="1" s="1"/>
  <c r="AX79" i="1"/>
  <c r="BA79" i="1" s="1"/>
  <c r="BB79" i="1" s="1"/>
  <c r="BC79" i="1" s="1"/>
  <c r="AX23" i="1"/>
  <c r="BA23" i="1" s="1"/>
  <c r="BB23" i="1" s="1"/>
  <c r="BC23" i="1" s="1"/>
  <c r="AX34" i="1"/>
  <c r="BA34" i="1" s="1"/>
  <c r="BB34" i="1" s="1"/>
  <c r="BC34" i="1" s="1"/>
  <c r="AX81" i="1"/>
  <c r="BA81" i="1" s="1"/>
  <c r="BB81" i="1" s="1"/>
  <c r="BC81" i="1" s="1"/>
  <c r="AX63" i="1"/>
  <c r="BA63" i="1" s="1"/>
  <c r="BB63" i="1" s="1"/>
  <c r="BC63" i="1" s="1"/>
  <c r="AX27" i="1"/>
  <c r="BA27" i="1" s="1"/>
  <c r="BB27" i="1" s="1"/>
  <c r="BC27" i="1" s="1"/>
  <c r="AX31" i="1"/>
  <c r="BA31" i="1" s="1"/>
  <c r="BB31" i="1" s="1"/>
  <c r="BC31" i="1" s="1"/>
  <c r="AX66" i="1"/>
  <c r="BA66" i="1" s="1"/>
  <c r="BB66" i="1" s="1"/>
  <c r="BC66" i="1" s="1"/>
  <c r="AX50" i="1"/>
  <c r="BA50" i="1" s="1"/>
  <c r="BB50" i="1" s="1"/>
  <c r="BC50" i="1" s="1"/>
  <c r="AX38" i="1"/>
  <c r="BA38" i="1" s="1"/>
  <c r="BB38" i="1" s="1"/>
  <c r="BC38" i="1" s="1"/>
  <c r="AX20" i="1"/>
  <c r="AX75" i="1"/>
  <c r="BM84" i="1" l="1"/>
  <c r="BA33" i="1"/>
  <c r="AX84" i="1"/>
  <c r="BB41" i="1"/>
  <c r="BA28" i="1"/>
  <c r="BB28" i="1" s="1"/>
  <c r="BC28" i="1" s="1"/>
  <c r="BA65" i="1"/>
  <c r="BB65" i="1" s="1"/>
  <c r="BC65" i="1" s="1"/>
  <c r="BA20" i="1"/>
  <c r="BB20" i="1" s="1"/>
  <c r="BC20" i="1" s="1"/>
  <c r="BA75" i="1"/>
  <c r="BB33" i="1" l="1"/>
  <c r="BC33" i="1" s="1"/>
  <c r="BC3" i="1"/>
  <c r="BC5" i="1" s="1"/>
  <c r="BA84" i="1"/>
  <c r="BC41" i="1"/>
  <c r="BB75" i="1"/>
  <c r="BC75" i="1" s="1"/>
  <c r="BB84" i="1" l="1"/>
  <c r="BC8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danv</author>
    <author>Admin</author>
    <author>Even Lægran</author>
    <author>Solberg Kine Anfindsen</author>
    <author>tc={F7D538BA-68F6-4E02-89A2-CE049764174F}</author>
  </authors>
  <commentList>
    <comment ref="Z3" authorId="0" shapeId="0" xr:uid="{00000000-0006-0000-0000-000001000000}">
      <text>
        <r>
          <rPr>
            <sz val="8"/>
            <color indexed="81"/>
            <rFont val="Lucida Console"/>
            <family val="3"/>
          </rPr>
          <t xml:space="preserve">Dimensjonerende utetemperatur (Laveste 3-døgnmiddeltemperatur)
</t>
        </r>
        <r>
          <rPr>
            <b/>
            <sz val="10"/>
            <color indexed="81"/>
            <rFont val="Lucida Console"/>
            <family val="3"/>
          </rPr>
          <t>Dimensjonerende utetemperatur, vinterforhold</t>
        </r>
        <r>
          <rPr>
            <sz val="8"/>
            <color indexed="81"/>
            <rFont val="Lucida Console"/>
            <family val="3"/>
          </rPr>
          <t xml:space="preserve">
(VVS-Tekniske klimadata for Norge s. 42)
Oslo - Blindern     -20°C
Trondheim           -19°C
Stavanger            -9°C
Bodø                -13°C
Røros               -40°C
Ålesund              -8°C</t>
        </r>
      </text>
    </comment>
    <comment ref="AL3" authorId="1" shapeId="0" xr:uid="{00000000-0006-0000-0000-000002000000}">
      <text>
        <r>
          <rPr>
            <sz val="9"/>
            <color indexed="81"/>
            <rFont val="Tahoma"/>
            <family val="2"/>
          </rPr>
          <t xml:space="preserve">Verdier som legges inn her kan
overstyres for hvert enkelt rom.
</t>
        </r>
      </text>
    </comment>
    <comment ref="AC5" authorId="1" shapeId="0" xr:uid="{00000000-0006-0000-0000-000003000000}">
      <text>
        <r>
          <rPr>
            <sz val="9"/>
            <color indexed="81"/>
            <rFont val="Tahoma"/>
            <family val="2"/>
          </rPr>
          <t xml:space="preserve">Verdier som legges inn her kan overstyres for hvert enkelt rom.
</t>
        </r>
      </text>
    </comment>
    <comment ref="BJ5" authorId="2" shapeId="0" xr:uid="{00000000-0006-0000-0000-000004000000}">
      <text>
        <r>
          <rPr>
            <sz val="8"/>
            <color indexed="81"/>
            <rFont val="Tahoma"/>
            <family val="2"/>
          </rPr>
          <t xml:space="preserve">Valgte verdier kan overstyres for hvert enkelt rom.
</t>
        </r>
      </text>
    </comment>
    <comment ref="BO5" authorId="2" shapeId="0" xr:uid="{00000000-0006-0000-0000-000005000000}">
      <text>
        <r>
          <rPr>
            <sz val="8"/>
            <color indexed="81"/>
            <rFont val="Tahoma"/>
            <family val="2"/>
          </rPr>
          <t>Valgte verdier kan overstyres for hvert enkelt rom.</t>
        </r>
      </text>
    </comment>
    <comment ref="J6" authorId="1" shapeId="0" xr:uid="{00000000-0006-0000-0000-000006000000}">
      <text>
        <r>
          <rPr>
            <sz val="9"/>
            <color indexed="81"/>
            <rFont val="Tahoma"/>
            <family val="2"/>
          </rPr>
          <t xml:space="preserve">Verdier som legges inn her kan overstyres for hvert enkelt rom.
</t>
        </r>
      </text>
    </comment>
    <comment ref="AB6" authorId="1" shapeId="0" xr:uid="{00000000-0006-0000-0000-000007000000}">
      <text>
        <r>
          <rPr>
            <sz val="9"/>
            <color indexed="81"/>
            <rFont val="Tahoma"/>
            <family val="2"/>
          </rPr>
          <t>[luftvekslinger/time]
DETTE ER INFILTRASJON I NORMALTILSTAND OG MÅ IKKE FORVEKSLES MED LEKKASJETALLET N50 SOM ER FOR TRYKKSATT BYGNING/ROM.
Se NS3031 6.1.1.1.5.
(Som hjelp for omregning fra lekkasjetall til infiltrasjon kan gjerne sone-element i simien benyttes, da velges bare skjermingklasse og fasadesituasjon og infiltrasjon vil vises i lysegrått til høyre i bilde)</t>
        </r>
      </text>
    </comment>
    <comment ref="BG6" authorId="2" shapeId="0" xr:uid="{00000000-0006-0000-0000-000008000000}">
      <text>
        <r>
          <rPr>
            <sz val="8"/>
            <color indexed="81"/>
            <rFont val="Tahoma"/>
            <family val="2"/>
          </rPr>
          <t xml:space="preserve">[W/person]
</t>
        </r>
      </text>
    </comment>
    <comment ref="BH6" authorId="2" shapeId="0" xr:uid="{00000000-0006-0000-0000-000009000000}">
      <text>
        <r>
          <rPr>
            <sz val="8"/>
            <color indexed="81"/>
            <rFont val="Tahoma"/>
            <family val="2"/>
          </rPr>
          <t>[W/m2 golv]</t>
        </r>
      </text>
    </comment>
    <comment ref="BI6" authorId="2" shapeId="0" xr:uid="{00000000-0006-0000-0000-00000A000000}">
      <text>
        <r>
          <rPr>
            <sz val="8"/>
            <color indexed="81"/>
            <rFont val="Tahoma"/>
            <family val="2"/>
          </rPr>
          <t>Brutto soltilskudd mot vinduet [W/m2].</t>
        </r>
      </text>
    </comment>
    <comment ref="BJ6" authorId="2" shapeId="0" xr:uid="{00000000-0006-0000-0000-00000B000000}">
      <text>
        <r>
          <rPr>
            <sz val="8"/>
            <color indexed="81"/>
            <rFont val="Tahoma"/>
            <family val="2"/>
          </rPr>
          <t>Angir hvor stor andel av soleffekten som reflekteres i vinduet inkl. persienner (0 - 1,0).</t>
        </r>
      </text>
    </comment>
    <comment ref="I7" authorId="3" shapeId="0" xr:uid="{00000000-0006-0000-0000-00000C000000}">
      <text>
        <r>
          <rPr>
            <b/>
            <sz val="9"/>
            <color indexed="81"/>
            <rFont val="Tahoma"/>
            <family val="2"/>
          </rPr>
          <t>Solberg Kine Anfindsen:</t>
        </r>
        <r>
          <rPr>
            <sz val="9"/>
            <color indexed="81"/>
            <rFont val="Tahoma"/>
            <family val="2"/>
          </rPr>
          <t xml:space="preserve">
bygningsmaterialer og inventar, skal være minimum 2,5 m3 pr. time pr. m2 gulvareal under forutsetning av at det i hovedsak benyttes kjente og godt utprøvde materialer som er bedømt å være lavemitterende. 
Friskluft på grunn av lukt og irritasjonseffekter fra stoffer som avgis fra bygningsmaterialer og inventar når det benyttes udokumenterte materialer eller høyemitterende produkter, må minimum være 3,6 m3 pr. time pr. m2 gulvareal når bygning eller rom er i bruk.</t>
        </r>
      </text>
    </comment>
    <comment ref="W7" authorId="3" shapeId="0" xr:uid="{00000000-0006-0000-0000-00000D000000}">
      <text>
        <r>
          <rPr>
            <b/>
            <sz val="9"/>
            <color indexed="81"/>
            <rFont val="Tahoma"/>
            <family val="2"/>
          </rPr>
          <t>Solberg Kine Anfindsen:</t>
        </r>
        <r>
          <rPr>
            <sz val="9"/>
            <color indexed="81"/>
            <rFont val="Tahoma"/>
            <family val="2"/>
          </rPr>
          <t xml:space="preserve">
Velges ut ifra type anlegg og ønskede innstillinger
</t>
        </r>
      </text>
    </comment>
    <comment ref="BB7" authorId="0" shapeId="0" xr:uid="{00000000-0006-0000-0000-00000E000000}">
      <text>
        <r>
          <rPr>
            <b/>
            <sz val="8"/>
            <color indexed="81"/>
            <rFont val="Lucida Console"/>
            <family val="3"/>
          </rPr>
          <t xml:space="preserve">Verdien du gir inn i denne cellen kan overstyres for hvert enkelt rom.
</t>
        </r>
        <r>
          <rPr>
            <sz val="8"/>
            <color indexed="81"/>
            <rFont val="Lucida Console"/>
            <family val="3"/>
          </rPr>
          <t xml:space="preserve">Ekstra sikkerhet bør vurderes i rom med gulvvarme i gulv på grunn, samt hjørnerom eller lignende hvor kuldebroer kan utgjøre en signifikant andel av varmetapet. 
Dette tillegget skal dekke:
- Sikkerhet i beregningene
- Kuldebroer
- Gjenoppvarmingstillegg*
- Tillegg for høye rom*
- Tillegg for rom med flere avkjølingsflater*
- Tillegg for rom med fuktige og nordvendte vegger*
*Se boken Beregning av bygningers effektbehov 
</t>
        </r>
        <r>
          <rPr>
            <b/>
            <sz val="8"/>
            <color indexed="81"/>
            <rFont val="Lucida Console"/>
            <family val="3"/>
          </rPr>
          <t xml:space="preserve">
Ut fra erfaring settes disse tilleggene samlet, og uten å skille mellom rom til 20 %.
</t>
        </r>
        <r>
          <rPr>
            <sz val="8"/>
            <color indexed="81"/>
            <rFont val="Lucida Console"/>
            <family val="3"/>
          </rPr>
          <t xml:space="preserve">
Husk at ekstrakostnaden ved å øke installert effekt noe er liten, spesielt ved bruk av vannbåren varme, og at det ikke er noen som kommer til å takke deg for at du har tatt ut en litt mindre radiator. 
Tenk også på at radiatorkurser normalt er utekompensert og at man derfor ikke får en reservekapasitet når utetemperaturen ligger over DUT slik som tilfellet er er med elektriske panelovner. Utekompenseringskurven kan selvsagt heves slik at man får ekstra kapasitet ved disse temperaturene men dette vil være ugunstig spesielt ved bruk av varmepumper som varmekilde.   
Tidligere (før 2007) ble alle kuldebroer inkludert i u-verdiene, men nå er det kun stendere, sperr etc (typisk treandel) som står i selve konstruksjonen som regnes inn. Sikkerhetsmargin må derfor ivareta kuldebrotillegget for konstruksjonsoverganger, etasjeskillere, balkonger etc.</t>
        </r>
      </text>
    </comment>
    <comment ref="O51" authorId="4" shapeId="0" xr:uid="{F7D538BA-68F6-4E02-89A2-CE049764174F}">
      <text>
        <t>[Kommentartråd]
Din versjon av Excel lar deg lese denne kommentartråden. Eventuelle endringer i den vil imidlertid bli fjernet hvis filen åpnes i en nyere versjon av Excel. Finn ut mer: https://go.microsoft.com/fwlink/?linkid=870924
Kommentar:
    Eks tribune plan 2</t>
      </text>
    </comment>
  </commentList>
</comments>
</file>

<file path=xl/sharedStrings.xml><?xml version="1.0" encoding="utf-8"?>
<sst xmlns="http://schemas.openxmlformats.org/spreadsheetml/2006/main" count="609" uniqueCount="259">
  <si>
    <t>GRUNNLAGSDATA</t>
  </si>
  <si>
    <t>LUFTMENGDEBEREGNINGER</t>
  </si>
  <si>
    <t>VARMEBEHOVSBEREGNING</t>
  </si>
  <si>
    <t>Valgte verdier:</t>
  </si>
  <si>
    <t>U-verdier</t>
  </si>
  <si>
    <t>SUM:</t>
  </si>
  <si>
    <t xml:space="preserve"> [kW]</t>
  </si>
  <si>
    <t>Oppdragsnr./-navn:</t>
  </si>
  <si>
    <t>Installert:</t>
  </si>
  <si>
    <t>Utført av:</t>
  </si>
  <si>
    <t xml:space="preserve"> Etg.høyde [m]</t>
  </si>
  <si>
    <t xml:space="preserve"> Infilt. [pr. time]</t>
  </si>
  <si>
    <t xml:space="preserve"> U1-Yttervegg  [W/(m²x°C)]</t>
  </si>
  <si>
    <t xml:space="preserve"> Vindu  [m²]</t>
  </si>
  <si>
    <t xml:space="preserve"> U2-Vindu  [W/(m²x°C)]</t>
  </si>
  <si>
    <t xml:space="preserve"> Dør/port  [m²]</t>
  </si>
  <si>
    <t xml:space="preserve"> U3-Port/dør  [W/(m²x°C)]</t>
  </si>
  <si>
    <t xml:space="preserve"> Yttertak  [m²]</t>
  </si>
  <si>
    <t xml:space="preserve"> U4-Yttertak  [W/(m²x°C)]</t>
  </si>
  <si>
    <t xml:space="preserve"> Gulv på grunn  [m²]</t>
  </si>
  <si>
    <t xml:space="preserve"> U5-Gulv på grunn  [W/(m²x°C)]</t>
  </si>
  <si>
    <t xml:space="preserve"> Flate mot sone  [m²]</t>
  </si>
  <si>
    <t xml:space="preserve"> U6-Flate mot sone  [W/(m²x°C)]</t>
  </si>
  <si>
    <t xml:space="preserve"> Temperatur i sone  [°C]</t>
  </si>
  <si>
    <t xml:space="preserve"> Trans.tap U1-Yttervegg  [W]</t>
  </si>
  <si>
    <t xml:space="preserve"> Trans.tap U2-Vindu  [W]</t>
  </si>
  <si>
    <t xml:space="preserve"> Trans.tap U3-Dør/port  [W]</t>
  </si>
  <si>
    <t xml:space="preserve"> Trans.tap U4-Yttertak  [W]</t>
  </si>
  <si>
    <t xml:space="preserve"> Trans.tap U5-Gulv på grunn [W]</t>
  </si>
  <si>
    <t xml:space="preserve"> Trans.tap U6-Sone  [W]</t>
  </si>
  <si>
    <t>Sikkerhet:</t>
  </si>
  <si>
    <t xml:space="preserve"> [%]</t>
  </si>
  <si>
    <t>Dato:</t>
  </si>
  <si>
    <t>Rev.:</t>
  </si>
  <si>
    <t xml:space="preserve"> Effektbehov transmisjon  [W]</t>
  </si>
  <si>
    <t xml:space="preserve"> Effektbehov infiltrasjon  [W]</t>
  </si>
  <si>
    <t xml:space="preserve"> Effektbehov ventilasjon  [W]</t>
  </si>
  <si>
    <t xml:space="preserve"> Sum effektbehov  [W]</t>
  </si>
  <si>
    <t>Varme fra personer [W]</t>
  </si>
  <si>
    <t>Varme fra sol netto [W]</t>
  </si>
  <si>
    <t>Varme fra utstyr [W]</t>
  </si>
  <si>
    <t>Sum varmetilskudd [W]</t>
  </si>
  <si>
    <t>Kjøletilskudd tilluft [W]</t>
  </si>
  <si>
    <t>Sum kjøletilskudd [W]</t>
  </si>
  <si>
    <t>Varme - Kjøling [W]</t>
  </si>
  <si>
    <t xml:space="preserve"> [°C]</t>
  </si>
  <si>
    <t>Beregnet luftmengde</t>
  </si>
  <si>
    <t>Valgt luftmengde</t>
  </si>
  <si>
    <t>Romnavn</t>
  </si>
  <si>
    <t xml:space="preserve"> Plan</t>
  </si>
  <si>
    <t xml:space="preserve"> Areal
[m²]</t>
  </si>
  <si>
    <t>Pers.
[ant]</t>
  </si>
  <si>
    <r>
      <t>SUM
Tilluft
[m</t>
    </r>
    <r>
      <rPr>
        <vertAlign val="superscript"/>
        <sz val="9"/>
        <color theme="1"/>
        <rFont val="Arial"/>
        <family val="2"/>
      </rPr>
      <t>3</t>
    </r>
    <r>
      <rPr>
        <sz val="9"/>
        <color theme="1"/>
        <rFont val="Arial"/>
        <family val="2"/>
      </rPr>
      <t>/h]</t>
    </r>
  </si>
  <si>
    <r>
      <t>Tilluft
[m</t>
    </r>
    <r>
      <rPr>
        <vertAlign val="superscript"/>
        <sz val="9"/>
        <color theme="1"/>
        <rFont val="Arial"/>
        <family val="2"/>
      </rPr>
      <t>3</t>
    </r>
    <r>
      <rPr>
        <sz val="9"/>
        <color theme="1"/>
        <rFont val="Arial"/>
        <family val="2"/>
      </rPr>
      <t>/h]</t>
    </r>
  </si>
  <si>
    <r>
      <t>Avtrekk
[m</t>
    </r>
    <r>
      <rPr>
        <vertAlign val="superscript"/>
        <sz val="9"/>
        <color theme="1"/>
        <rFont val="Arial"/>
        <family val="2"/>
      </rPr>
      <t>3</t>
    </r>
    <r>
      <rPr>
        <sz val="9"/>
        <color theme="1"/>
        <rFont val="Arial"/>
        <family val="2"/>
      </rPr>
      <t>/h]</t>
    </r>
  </si>
  <si>
    <r>
      <t>Prosess-
avtrekk
[m</t>
    </r>
    <r>
      <rPr>
        <vertAlign val="superscript"/>
        <sz val="9"/>
        <color theme="1"/>
        <rFont val="Arial"/>
        <family val="2"/>
      </rPr>
      <t>3</t>
    </r>
    <r>
      <rPr>
        <sz val="9"/>
        <color theme="1"/>
        <rFont val="Arial"/>
        <family val="2"/>
      </rPr>
      <t>/h]</t>
    </r>
  </si>
  <si>
    <r>
      <t xml:space="preserve">VAV?
</t>
    </r>
    <r>
      <rPr>
        <sz val="9"/>
        <color theme="1"/>
        <rFont val="Arial"/>
        <family val="2"/>
      </rPr>
      <t>Sett
"X"</t>
    </r>
  </si>
  <si>
    <t xml:space="preserve"> Sikkerhet [W]</t>
  </si>
  <si>
    <t xml:space="preserve"> Sum effektbehov 
+ sikkerhet [W]</t>
  </si>
  <si>
    <t xml:space="preserve"> Inst. effekt [W]</t>
  </si>
  <si>
    <t xml:space="preserve"> Inst. effekt [W/m²]</t>
  </si>
  <si>
    <t>System</t>
  </si>
  <si>
    <t>Areal</t>
  </si>
  <si>
    <t>Luft-</t>
  </si>
  <si>
    <t>Reserve</t>
  </si>
  <si>
    <t>Tilluft</t>
  </si>
  <si>
    <t>Avtrekk</t>
  </si>
  <si>
    <t>Hvorav
VAV</t>
  </si>
  <si>
    <t>Samtidig-
het</t>
  </si>
  <si>
    <t>Tilluft korr</t>
  </si>
  <si>
    <t>Avtr korr</t>
  </si>
  <si>
    <t>(netto)
m2</t>
  </si>
  <si>
    <t>mengde
pr. m²</t>
  </si>
  <si>
    <t>SUM</t>
  </si>
  <si>
    <r>
      <t>Matr
[m</t>
    </r>
    <r>
      <rPr>
        <vertAlign val="superscript"/>
        <sz val="9"/>
        <color theme="1"/>
        <rFont val="Arial"/>
        <family val="2"/>
      </rPr>
      <t>3</t>
    </r>
    <r>
      <rPr>
        <sz val="9"/>
        <color theme="1"/>
        <rFont val="Arial"/>
        <family val="2"/>
      </rPr>
      <t>/h]</t>
    </r>
  </si>
  <si>
    <r>
      <t>Pers.
[m</t>
    </r>
    <r>
      <rPr>
        <vertAlign val="superscript"/>
        <sz val="9"/>
        <color theme="1"/>
        <rFont val="Arial"/>
        <family val="2"/>
      </rPr>
      <t>3</t>
    </r>
    <r>
      <rPr>
        <sz val="9"/>
        <color theme="1"/>
        <rFont val="Arial"/>
        <family val="2"/>
      </rPr>
      <t>/h]</t>
    </r>
  </si>
  <si>
    <r>
      <t>Luftm.
pr. m</t>
    </r>
    <r>
      <rPr>
        <b/>
        <vertAlign val="superscript"/>
        <sz val="9"/>
        <color theme="1"/>
        <rFont val="Arial"/>
        <family val="2"/>
      </rPr>
      <t>2</t>
    </r>
    <r>
      <rPr>
        <b/>
        <sz val="9"/>
        <color theme="1"/>
        <rFont val="Arial"/>
        <family val="2"/>
      </rPr>
      <t xml:space="preserve">
(tilluft)
</t>
    </r>
    <r>
      <rPr>
        <sz val="9"/>
        <color theme="1"/>
        <rFont val="Arial"/>
        <family val="2"/>
      </rPr>
      <t>[m</t>
    </r>
    <r>
      <rPr>
        <vertAlign val="superscript"/>
        <sz val="9"/>
        <color theme="1"/>
        <rFont val="Arial"/>
        <family val="2"/>
      </rPr>
      <t>3</t>
    </r>
    <r>
      <rPr>
        <sz val="9"/>
        <color theme="1"/>
        <rFont val="Arial"/>
        <family val="2"/>
      </rPr>
      <t>/h]</t>
    </r>
  </si>
  <si>
    <t>LUFTMENGDER PR. AGGREGAT</t>
  </si>
  <si>
    <r>
      <t xml:space="preserve">Tilknyttet
aggregat
</t>
    </r>
    <r>
      <rPr>
        <sz val="8"/>
        <color theme="1"/>
        <rFont val="Arial"/>
        <family val="2"/>
      </rPr>
      <t>(Droppdown)</t>
    </r>
  </si>
  <si>
    <t>Kjøling fra utstyr [W]</t>
  </si>
  <si>
    <t>KJØLE-/VARMEBALANSE</t>
  </si>
  <si>
    <t>EK dato:</t>
  </si>
  <si>
    <t>Sign.:</t>
  </si>
  <si>
    <t>SMK dato:</t>
  </si>
  <si>
    <t xml:space="preserve"> Tilluftstemp. vinter [°C]</t>
  </si>
  <si>
    <t>Luftmengdefaktor</t>
  </si>
  <si>
    <t>Solreduksjon [0-1,0]</t>
  </si>
  <si>
    <t>Romtemp. vinter [°C]</t>
  </si>
  <si>
    <t>DUT:</t>
  </si>
  <si>
    <t>Tilluftstemp. sommer [°C]</t>
  </si>
  <si>
    <t>Romtemp. sommer [°C]</t>
  </si>
  <si>
    <r>
      <t>Luftmengde [m</t>
    </r>
    <r>
      <rPr>
        <vertAlign val="superscript"/>
        <sz val="9"/>
        <rFont val="Arial"/>
        <family val="2"/>
      </rPr>
      <t>3</t>
    </r>
    <r>
      <rPr>
        <sz val="9"/>
        <rFont val="Arial"/>
        <family val="2"/>
      </rPr>
      <t>/h]</t>
    </r>
  </si>
  <si>
    <r>
      <t>Varme fra lys [W</t>
    </r>
    <r>
      <rPr>
        <sz val="9"/>
        <color theme="1"/>
        <rFont val="Arial"/>
        <family val="2"/>
      </rPr>
      <t>]</t>
    </r>
  </si>
  <si>
    <r>
      <t>Soltilskudd ute [W/m</t>
    </r>
    <r>
      <rPr>
        <vertAlign val="superscript"/>
        <sz val="9"/>
        <rFont val="Arial"/>
        <family val="2"/>
      </rPr>
      <t>2</t>
    </r>
    <r>
      <rPr>
        <sz val="9"/>
        <rFont val="Arial"/>
        <family val="2"/>
      </rPr>
      <t>]</t>
    </r>
  </si>
  <si>
    <r>
      <t>Luftmengde [m</t>
    </r>
    <r>
      <rPr>
        <vertAlign val="superscript"/>
        <sz val="10"/>
        <color indexed="8"/>
        <rFont val="Arial"/>
        <family val="2"/>
      </rPr>
      <t>3</t>
    </r>
    <r>
      <rPr>
        <sz val="10"/>
        <color indexed="8"/>
        <rFont val="Arial"/>
        <family val="2"/>
      </rPr>
      <t>/h]</t>
    </r>
  </si>
  <si>
    <t>Romnr</t>
  </si>
  <si>
    <r>
      <t xml:space="preserve"> Yttervegg lengde  [m</t>
    </r>
    <r>
      <rPr>
        <sz val="9"/>
        <rFont val="Arial"/>
        <family val="2"/>
      </rPr>
      <t>]</t>
    </r>
  </si>
  <si>
    <r>
      <t>Økt luftmengde for fjerning av varmeoverskudd [m</t>
    </r>
    <r>
      <rPr>
        <vertAlign val="superscript"/>
        <sz val="9"/>
        <rFont val="Arial"/>
        <family val="2"/>
      </rPr>
      <t>3</t>
    </r>
    <r>
      <rPr>
        <sz val="9"/>
        <rFont val="Arial"/>
        <family val="2"/>
      </rPr>
      <t>/h]</t>
    </r>
  </si>
  <si>
    <r>
      <t>Matr
[m</t>
    </r>
    <r>
      <rPr>
        <vertAlign val="superscript"/>
        <sz val="9"/>
        <color theme="1"/>
        <rFont val="Arial"/>
        <family val="2"/>
      </rPr>
      <t>3</t>
    </r>
    <r>
      <rPr>
        <sz val="9"/>
        <color theme="1"/>
        <rFont val="Arial"/>
        <family val="2"/>
      </rPr>
      <t>/h</t>
    </r>
    <r>
      <rPr>
        <sz val="9"/>
        <color theme="1"/>
        <rFont val="Calibri"/>
        <family val="2"/>
      </rPr>
      <t>∙</t>
    </r>
    <r>
      <rPr>
        <sz val="9"/>
        <color theme="1"/>
        <rFont val="Arial"/>
        <family val="2"/>
      </rPr>
      <t>m</t>
    </r>
    <r>
      <rPr>
        <vertAlign val="superscript"/>
        <sz val="9"/>
        <color theme="1"/>
        <rFont val="Arial"/>
        <family val="2"/>
      </rPr>
      <t>2</t>
    </r>
    <r>
      <rPr>
        <sz val="9"/>
        <color theme="1"/>
        <rFont val="Arial"/>
        <family val="2"/>
      </rPr>
      <t>]</t>
    </r>
  </si>
  <si>
    <r>
      <t>Pers.
[m</t>
    </r>
    <r>
      <rPr>
        <vertAlign val="superscript"/>
        <sz val="9"/>
        <color theme="1"/>
        <rFont val="Arial"/>
        <family val="2"/>
      </rPr>
      <t>3</t>
    </r>
    <r>
      <rPr>
        <sz val="9"/>
        <color theme="1"/>
        <rFont val="Arial"/>
        <family val="2"/>
      </rPr>
      <t>/h</t>
    </r>
    <r>
      <rPr>
        <sz val="9"/>
        <color theme="1"/>
        <rFont val="Calibri"/>
        <family val="2"/>
      </rPr>
      <t>∙</t>
    </r>
    <r>
      <rPr>
        <sz val="9"/>
        <color theme="1"/>
        <rFont val="Arial"/>
        <family val="2"/>
      </rPr>
      <t>pers]</t>
    </r>
  </si>
  <si>
    <t>DELSUM</t>
  </si>
  <si>
    <r>
      <t xml:space="preserve">Luftm
max
</t>
    </r>
    <r>
      <rPr>
        <sz val="9"/>
        <color theme="1"/>
        <rFont val="Arial"/>
        <family val="2"/>
      </rPr>
      <t>VAV
[m</t>
    </r>
    <r>
      <rPr>
        <vertAlign val="superscript"/>
        <sz val="9"/>
        <color theme="1"/>
        <rFont val="Arial"/>
        <family val="2"/>
      </rPr>
      <t>3</t>
    </r>
    <r>
      <rPr>
        <sz val="9"/>
        <color theme="1"/>
        <rFont val="Arial"/>
        <family val="2"/>
      </rPr>
      <t>/h]</t>
    </r>
  </si>
  <si>
    <r>
      <t xml:space="preserve">Luftm
komfort
</t>
    </r>
    <r>
      <rPr>
        <sz val="9"/>
        <color theme="1"/>
        <rFont val="Arial"/>
        <family val="2"/>
      </rPr>
      <t>VAV
[m</t>
    </r>
    <r>
      <rPr>
        <vertAlign val="superscript"/>
        <sz val="9"/>
        <color theme="1"/>
        <rFont val="Arial"/>
        <family val="2"/>
      </rPr>
      <t>3</t>
    </r>
    <r>
      <rPr>
        <sz val="9"/>
        <color theme="1"/>
        <rFont val="Arial"/>
        <family val="2"/>
      </rPr>
      <t>/h]</t>
    </r>
  </si>
  <si>
    <r>
      <t xml:space="preserve">Luftm
prekomfort
</t>
    </r>
    <r>
      <rPr>
        <sz val="9"/>
        <color theme="1"/>
        <rFont val="Arial"/>
        <family val="2"/>
      </rPr>
      <t>VAV
[m</t>
    </r>
    <r>
      <rPr>
        <vertAlign val="superscript"/>
        <sz val="9"/>
        <color theme="1"/>
        <rFont val="Arial"/>
        <family val="2"/>
      </rPr>
      <t>3</t>
    </r>
    <r>
      <rPr>
        <sz val="9"/>
        <color theme="1"/>
        <rFont val="Arial"/>
        <family val="2"/>
      </rPr>
      <t>/h]</t>
    </r>
  </si>
  <si>
    <t>Valgte verdier</t>
  </si>
  <si>
    <r>
      <rPr>
        <b/>
        <sz val="9"/>
        <color theme="1"/>
        <rFont val="Arial"/>
        <family val="2"/>
      </rPr>
      <t>Sikkerhet</t>
    </r>
    <r>
      <rPr>
        <sz val="9"/>
        <color theme="1"/>
        <rFont val="Arial"/>
        <family val="2"/>
      </rPr>
      <t xml:space="preserve">
 beregnet/  valgt luftm
[%]</t>
    </r>
  </si>
  <si>
    <r>
      <t xml:space="preserve">Merking
</t>
    </r>
    <r>
      <rPr>
        <sz val="9"/>
        <color theme="1"/>
        <rFont val="Arial"/>
        <family val="2"/>
      </rPr>
      <t>spjeld</t>
    </r>
  </si>
  <si>
    <t>014</t>
  </si>
  <si>
    <t>015</t>
  </si>
  <si>
    <t>102</t>
  </si>
  <si>
    <t>103</t>
  </si>
  <si>
    <t>104</t>
  </si>
  <si>
    <t>105</t>
  </si>
  <si>
    <t>108</t>
  </si>
  <si>
    <t>109</t>
  </si>
  <si>
    <t>110</t>
  </si>
  <si>
    <t>127</t>
  </si>
  <si>
    <t>167</t>
  </si>
  <si>
    <t>130-1</t>
  </si>
  <si>
    <t>137-1</t>
  </si>
  <si>
    <t>130-2</t>
  </si>
  <si>
    <t>Dusj</t>
  </si>
  <si>
    <t>Garderober C</t>
  </si>
  <si>
    <t>HCWC</t>
  </si>
  <si>
    <t>Garderober F (WC m/dusj)</t>
  </si>
  <si>
    <t>Kiosk</t>
  </si>
  <si>
    <t>Vestibyle</t>
  </si>
  <si>
    <t>Hovedtavlerom</t>
  </si>
  <si>
    <t>Varmesentral</t>
  </si>
  <si>
    <t>Tavlekott</t>
  </si>
  <si>
    <t>Vindfang</t>
  </si>
  <si>
    <t>Trapperom</t>
  </si>
  <si>
    <t>Renholdssentral</t>
  </si>
  <si>
    <t>Lager materialer</t>
  </si>
  <si>
    <t>Lager kultur</t>
  </si>
  <si>
    <t>AV Rom</t>
  </si>
  <si>
    <t>Korridor</t>
  </si>
  <si>
    <t>Heis-1</t>
  </si>
  <si>
    <t>Idrettshall</t>
  </si>
  <si>
    <t>Aktivitetssal</t>
  </si>
  <si>
    <t>Lager aktivitessal</t>
  </si>
  <si>
    <t>Tribune</t>
  </si>
  <si>
    <t>AV Nisje</t>
  </si>
  <si>
    <t>Forrom</t>
  </si>
  <si>
    <t>WC</t>
  </si>
  <si>
    <t>Bøttekott</t>
  </si>
  <si>
    <t>Hovedsvakstrøm</t>
  </si>
  <si>
    <t>Teknikk</t>
  </si>
  <si>
    <t>Garderober F (m/dusj)</t>
  </si>
  <si>
    <t>Heis-2</t>
  </si>
  <si>
    <t>623009/Finstad flerbrukshall</t>
  </si>
  <si>
    <t>Torbjørn S. Stensrud</t>
  </si>
  <si>
    <t>1</t>
  </si>
  <si>
    <t>2</t>
  </si>
  <si>
    <t>X</t>
  </si>
  <si>
    <t>9,4</t>
  </si>
  <si>
    <t>5,45</t>
  </si>
  <si>
    <t>360.003</t>
  </si>
  <si>
    <t>ROMSKJEMA</t>
  </si>
  <si>
    <t xml:space="preserve">vent </t>
  </si>
  <si>
    <t xml:space="preserve">Vent </t>
  </si>
  <si>
    <t xml:space="preserve">Gulvvarme </t>
  </si>
  <si>
    <t xml:space="preserve">vent/rad  </t>
  </si>
  <si>
    <t xml:space="preserve">Vent/rad </t>
  </si>
  <si>
    <t xml:space="preserve">Areal </t>
  </si>
  <si>
    <t xml:space="preserve">Ventilasjonsvarme </t>
  </si>
  <si>
    <t xml:space="preserve">Plan 02 </t>
  </si>
  <si>
    <t xml:space="preserve">Plan 01 </t>
  </si>
  <si>
    <t xml:space="preserve">W/m2 </t>
  </si>
  <si>
    <t xml:space="preserve">Effektbehov </t>
  </si>
  <si>
    <t xml:space="preserve">SUM </t>
  </si>
  <si>
    <t>20</t>
  </si>
  <si>
    <t>Møterom</t>
  </si>
  <si>
    <t>x</t>
  </si>
  <si>
    <t>25.134</t>
  </si>
  <si>
    <t>25.122</t>
  </si>
  <si>
    <t>25.132</t>
  </si>
  <si>
    <t>25.130</t>
  </si>
  <si>
    <t>25.129</t>
  </si>
  <si>
    <t>25.126</t>
  </si>
  <si>
    <t>25.128</t>
  </si>
  <si>
    <t>25.125</t>
  </si>
  <si>
    <t>25.123</t>
  </si>
  <si>
    <t>25.127</t>
  </si>
  <si>
    <t>25.124</t>
  </si>
  <si>
    <t>Garderober F</t>
  </si>
  <si>
    <t>25.135</t>
  </si>
  <si>
    <t>25.131</t>
  </si>
  <si>
    <t>25.108</t>
  </si>
  <si>
    <t>25.106</t>
  </si>
  <si>
    <t>25.105</t>
  </si>
  <si>
    <t>Tekjøkken</t>
  </si>
  <si>
    <t>25.102</t>
  </si>
  <si>
    <t>25.101</t>
  </si>
  <si>
    <t>25.120</t>
  </si>
  <si>
    <t>25.119</t>
  </si>
  <si>
    <t>25.116</t>
  </si>
  <si>
    <t>25.115</t>
  </si>
  <si>
    <t>25.114</t>
  </si>
  <si>
    <t>25.111</t>
  </si>
  <si>
    <t>25.112</t>
  </si>
  <si>
    <t>25.113</t>
  </si>
  <si>
    <t>25.109</t>
  </si>
  <si>
    <t>25.133</t>
  </si>
  <si>
    <t>25.138</t>
  </si>
  <si>
    <t>25.139</t>
  </si>
  <si>
    <t>25.144</t>
  </si>
  <si>
    <t>25.141</t>
  </si>
  <si>
    <t>25.142</t>
  </si>
  <si>
    <t>25.137</t>
  </si>
  <si>
    <t>25.216</t>
  </si>
  <si>
    <t>Sluse</t>
  </si>
  <si>
    <t>25.217</t>
  </si>
  <si>
    <t>25.219</t>
  </si>
  <si>
    <t>25.208</t>
  </si>
  <si>
    <t>25.207</t>
  </si>
  <si>
    <t>25.206</t>
  </si>
  <si>
    <t>25.205</t>
  </si>
  <si>
    <t>25.209</t>
  </si>
  <si>
    <t>25.211</t>
  </si>
  <si>
    <t>25.212</t>
  </si>
  <si>
    <t>25.224</t>
  </si>
  <si>
    <t>25.203</t>
  </si>
  <si>
    <t>25.201</t>
  </si>
  <si>
    <t>25.202</t>
  </si>
  <si>
    <t>25.227</t>
  </si>
  <si>
    <t>25.228</t>
  </si>
  <si>
    <t>25.225</t>
  </si>
  <si>
    <t>25.226</t>
  </si>
  <si>
    <t>25.222</t>
  </si>
  <si>
    <t>25.223</t>
  </si>
  <si>
    <t>25.230</t>
  </si>
  <si>
    <t>25.231</t>
  </si>
  <si>
    <t>25.232</t>
  </si>
  <si>
    <t>25.233</t>
  </si>
  <si>
    <t>25.143</t>
  </si>
  <si>
    <t>25.204</t>
  </si>
  <si>
    <t>27</t>
  </si>
  <si>
    <t>360.001</t>
  </si>
  <si>
    <t>360.002</t>
  </si>
  <si>
    <t>360.901</t>
  </si>
  <si>
    <t>Sme</t>
  </si>
  <si>
    <t>5,46</t>
  </si>
  <si>
    <t>5,48</t>
  </si>
  <si>
    <t>25.117</t>
  </si>
  <si>
    <t>Hvilerom</t>
  </si>
  <si>
    <t>25.218</t>
  </si>
  <si>
    <t>0</t>
  </si>
  <si>
    <t>25.107</t>
  </si>
  <si>
    <t>25.136</t>
  </si>
  <si>
    <t>25.220</t>
  </si>
  <si>
    <t>25.213</t>
  </si>
  <si>
    <t>25.104</t>
  </si>
  <si>
    <t>25.103</t>
  </si>
  <si>
    <t>25.01.2023</t>
  </si>
  <si>
    <t>25.229</t>
  </si>
  <si>
    <t>25.290</t>
  </si>
  <si>
    <t>Sjakt</t>
  </si>
  <si>
    <t>25.140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</si>
</sst>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 #,##0.00_ ;_ * \-#,##0.00_ ;_ * &quot;-&quot;??_ ;_ @_ "/>
    <numFmt numFmtId="165" formatCode="0.0"/>
    <numFmt numFmtId="166" formatCode="#,##0.0"/>
    <numFmt numFmtId="167" formatCode="_(* #,##0_);_(* \(#,##0\);_(* &quot;-&quot;??_);_(@_)"/>
    <numFmt numFmtId="168" formatCode="_ * #,##0_ ;_ * \-#,##0_ ;_ * &quot;-&quot;??_ ;_ @_ "/>
  </numFmts>
  <fonts count="36" x14ac:knownFonts="1">
    <font>
      <sz val="11"/>
      <color theme="1"/>
      <name val="Calibri"/>
      <family val="2"/>
      <scheme val="minor"/>
    </font>
    <font>
      <sz val="11"/>
      <color theme="1"/>
      <name val="Calibri"/>
      <family val="2"/>
      <scheme val="minor"/>
    </font>
    <font>
      <b/>
      <sz val="16"/>
      <name val="Arial"/>
      <family val="2"/>
    </font>
    <font>
      <b/>
      <sz val="10"/>
      <name val="Arial"/>
      <family val="2"/>
    </font>
    <font>
      <sz val="11"/>
      <name val="Arial"/>
      <family val="2"/>
    </font>
    <font>
      <b/>
      <sz val="9"/>
      <color theme="1"/>
      <name val="Arial"/>
      <family val="2"/>
    </font>
    <font>
      <b/>
      <sz val="9"/>
      <name val="Arial"/>
      <family val="2"/>
    </font>
    <font>
      <sz val="10"/>
      <name val="Arial"/>
      <family val="2"/>
    </font>
    <font>
      <sz val="9"/>
      <name val="Arial"/>
      <family val="2"/>
    </font>
    <font>
      <b/>
      <sz val="11"/>
      <name val="Arial"/>
      <family val="2"/>
    </font>
    <font>
      <sz val="9"/>
      <color theme="1"/>
      <name val="Arial"/>
      <family val="2"/>
    </font>
    <font>
      <sz val="8"/>
      <color theme="1"/>
      <name val="Arial"/>
      <family val="2"/>
    </font>
    <font>
      <vertAlign val="superscript"/>
      <sz val="9"/>
      <color theme="1"/>
      <name val="Arial"/>
      <family val="2"/>
    </font>
    <font>
      <b/>
      <vertAlign val="superscript"/>
      <sz val="9"/>
      <color theme="1"/>
      <name val="Arial"/>
      <family val="2"/>
    </font>
    <font>
      <sz val="9"/>
      <color indexed="81"/>
      <name val="Tahoma"/>
      <family val="2"/>
    </font>
    <font>
      <b/>
      <sz val="8"/>
      <color indexed="81"/>
      <name val="Lucida Console"/>
      <family val="3"/>
    </font>
    <font>
      <sz val="8"/>
      <color indexed="81"/>
      <name val="Lucida Console"/>
      <family val="3"/>
    </font>
    <font>
      <b/>
      <sz val="10"/>
      <color indexed="81"/>
      <name val="Lucida Console"/>
      <family val="3"/>
    </font>
    <font>
      <sz val="8"/>
      <color indexed="81"/>
      <name val="Tahoma"/>
      <family val="2"/>
    </font>
    <font>
      <sz val="11"/>
      <color theme="1"/>
      <name val="Arial"/>
      <family val="2"/>
    </font>
    <font>
      <sz val="10"/>
      <color theme="1"/>
      <name val="Arial"/>
      <family val="2"/>
    </font>
    <font>
      <sz val="10"/>
      <color theme="1"/>
      <name val="Calibri"/>
      <family val="2"/>
      <scheme val="minor"/>
    </font>
    <font>
      <b/>
      <sz val="10"/>
      <color theme="1"/>
      <name val="Arial"/>
      <family val="2"/>
    </font>
    <font>
      <sz val="16"/>
      <color indexed="22"/>
      <name val="Arial"/>
      <family val="2"/>
    </font>
    <font>
      <sz val="16"/>
      <color theme="1"/>
      <name val="Calibri"/>
      <family val="2"/>
      <scheme val="minor"/>
    </font>
    <font>
      <sz val="16"/>
      <color theme="1"/>
      <name val="Arial"/>
      <family val="2"/>
    </font>
    <font>
      <vertAlign val="superscript"/>
      <sz val="9"/>
      <name val="Arial"/>
      <family val="2"/>
    </font>
    <font>
      <vertAlign val="superscript"/>
      <sz val="10"/>
      <color indexed="8"/>
      <name val="Arial"/>
      <family val="2"/>
    </font>
    <font>
      <sz val="10"/>
      <color indexed="8"/>
      <name val="Arial"/>
      <family val="2"/>
    </font>
    <font>
      <sz val="9"/>
      <color theme="1"/>
      <name val="Calibri"/>
      <family val="2"/>
    </font>
    <font>
      <b/>
      <sz val="9"/>
      <color indexed="81"/>
      <name val="Tahoma"/>
      <family val="2"/>
    </font>
    <font>
      <sz val="8"/>
      <name val="Calibri"/>
      <family val="2"/>
      <scheme val="minor"/>
    </font>
    <font>
      <sz val="9"/>
      <color theme="1"/>
      <name val="Calibri"/>
      <family val="2"/>
      <scheme val="minor"/>
    </font>
    <font>
      <sz val="8"/>
      <color indexed="10"/>
      <name val="Arial"/>
      <family val="2"/>
    </font>
    <font>
      <sz val="10"/>
      <color indexed="10"/>
      <name val="Arial"/>
      <family val="2"/>
    </font>
    <font>
      <sz val="10"/>
      <color rgb="FFFF0000"/>
      <name val="Arial"/>
      <family val="2"/>
    </font>
  </fonts>
  <fills count="18">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rgb="FFFFFF99"/>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indexed="41"/>
        <bgColor indexed="64"/>
      </patternFill>
    </fill>
    <fill>
      <patternFill patternType="solid">
        <fgColor indexed="4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FF8080"/>
        <bgColor indexed="64"/>
      </patternFill>
    </fill>
    <fill>
      <patternFill patternType="solid">
        <fgColor theme="6" tint="0.59999389629810485"/>
        <bgColor indexed="64"/>
      </patternFill>
    </fill>
    <fill>
      <patternFill patternType="solid">
        <fgColor rgb="FFFF0000"/>
        <bgColor indexed="64"/>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359">
    <xf numFmtId="0" fontId="0" fillId="0" borderId="0" xfId="0"/>
    <xf numFmtId="0" fontId="2" fillId="2" borderId="0" xfId="0" applyFont="1" applyFill="1" applyAlignment="1">
      <alignment horizontal="left"/>
    </xf>
    <xf numFmtId="0" fontId="0" fillId="2" borderId="0" xfId="0" applyFill="1"/>
    <xf numFmtId="0" fontId="3" fillId="2" borderId="0" xfId="0" applyFont="1" applyFill="1"/>
    <xf numFmtId="0" fontId="3" fillId="3" borderId="0" xfId="0" applyFont="1" applyFill="1"/>
    <xf numFmtId="0" fontId="3" fillId="3" borderId="0" xfId="0" applyFont="1" applyFill="1" applyAlignment="1">
      <alignment horizontal="right"/>
    </xf>
    <xf numFmtId="0" fontId="3" fillId="4" borderId="0" xfId="0" applyFont="1" applyFill="1" applyAlignment="1">
      <alignment horizontal="left"/>
    </xf>
    <xf numFmtId="0" fontId="3" fillId="4" borderId="0" xfId="0" applyFont="1" applyFill="1" applyAlignment="1">
      <alignment horizontal="right"/>
    </xf>
    <xf numFmtId="0" fontId="3" fillId="2" borderId="0" xfId="0" applyFont="1" applyFill="1" applyAlignment="1">
      <alignment horizontal="right"/>
    </xf>
    <xf numFmtId="0" fontId="3" fillId="5" borderId="0" xfId="0" applyFont="1" applyFill="1" applyAlignment="1">
      <alignment horizontal="left"/>
    </xf>
    <xf numFmtId="0" fontId="3" fillId="5" borderId="0" xfId="0" applyFont="1" applyFill="1" applyAlignment="1">
      <alignment horizontal="right"/>
    </xf>
    <xf numFmtId="0" fontId="3" fillId="5" borderId="0" xfId="0" applyFont="1" applyFill="1"/>
    <xf numFmtId="0" fontId="3" fillId="6" borderId="0" xfId="0" applyFont="1" applyFill="1"/>
    <xf numFmtId="0" fontId="4" fillId="2" borderId="0" xfId="0" applyFont="1" applyFill="1"/>
    <xf numFmtId="0" fontId="7" fillId="5" borderId="2" xfId="0" applyFont="1" applyFill="1" applyBorder="1"/>
    <xf numFmtId="0" fontId="4" fillId="2" borderId="0" xfId="0" applyFont="1" applyFill="1" applyAlignment="1">
      <alignment horizontal="right"/>
    </xf>
    <xf numFmtId="0" fontId="6" fillId="8" borderId="3" xfId="0" applyFont="1" applyFill="1" applyBorder="1" applyAlignment="1">
      <alignment horizontal="right"/>
    </xf>
    <xf numFmtId="0" fontId="4" fillId="2" borderId="0" xfId="0" applyFont="1" applyFill="1" applyAlignment="1">
      <alignment horizontal="left"/>
    </xf>
    <xf numFmtId="2" fontId="7" fillId="0" borderId="0" xfId="0" applyNumberFormat="1" applyFont="1" applyAlignment="1">
      <alignment textRotation="90"/>
    </xf>
    <xf numFmtId="0" fontId="6" fillId="8" borderId="1" xfId="0" applyFont="1" applyFill="1" applyBorder="1"/>
    <xf numFmtId="14" fontId="4" fillId="2" borderId="4" xfId="0" applyNumberFormat="1" applyFont="1" applyFill="1" applyBorder="1" applyAlignment="1">
      <alignment horizontal="left"/>
    </xf>
    <xf numFmtId="14" fontId="4" fillId="2" borderId="0" xfId="0" applyNumberFormat="1" applyFont="1" applyFill="1" applyAlignment="1">
      <alignment horizontal="left"/>
    </xf>
    <xf numFmtId="2" fontId="7" fillId="2" borderId="0" xfId="0" applyNumberFormat="1" applyFont="1" applyFill="1" applyAlignment="1">
      <alignment textRotation="90"/>
    </xf>
    <xf numFmtId="165" fontId="11" fillId="2" borderId="0" xfId="0" applyNumberFormat="1" applyFont="1" applyFill="1"/>
    <xf numFmtId="17" fontId="7" fillId="2" borderId="0" xfId="0" applyNumberFormat="1" applyFont="1" applyFill="1" applyAlignment="1" applyProtection="1">
      <alignment horizontal="left"/>
      <protection locked="0"/>
    </xf>
    <xf numFmtId="0" fontId="7" fillId="2" borderId="0" xfId="0" applyFont="1" applyFill="1" applyAlignment="1">
      <alignment horizontal="right"/>
    </xf>
    <xf numFmtId="0" fontId="7" fillId="2" borderId="0" xfId="0" applyFont="1" applyFill="1" applyAlignment="1">
      <alignment horizontal="left"/>
    </xf>
    <xf numFmtId="0" fontId="7" fillId="2" borderId="8" xfId="0" applyFont="1" applyFill="1" applyBorder="1" applyAlignment="1">
      <alignment horizontal="right"/>
    </xf>
    <xf numFmtId="0" fontId="7" fillId="2" borderId="0" xfId="0" applyFont="1" applyFill="1" applyAlignment="1">
      <alignment horizontal="center" textRotation="90"/>
    </xf>
    <xf numFmtId="165" fontId="7" fillId="2" borderId="0" xfId="0" applyNumberFormat="1" applyFont="1" applyFill="1" applyAlignment="1">
      <alignment horizontal="center" wrapText="1"/>
    </xf>
    <xf numFmtId="3" fontId="10" fillId="4" borderId="9" xfId="0" applyNumberFormat="1" applyFont="1" applyFill="1" applyBorder="1" applyAlignment="1">
      <alignment horizontal="center" wrapText="1"/>
    </xf>
    <xf numFmtId="3" fontId="5" fillId="4" borderId="9" xfId="0" applyNumberFormat="1" applyFont="1" applyFill="1" applyBorder="1" applyAlignment="1">
      <alignment horizontal="center" wrapText="1"/>
    </xf>
    <xf numFmtId="3" fontId="5" fillId="4" borderId="4" xfId="0" applyNumberFormat="1" applyFont="1" applyFill="1" applyBorder="1" applyAlignment="1">
      <alignment horizontal="center" wrapText="1"/>
    </xf>
    <xf numFmtId="2" fontId="7" fillId="2" borderId="0" xfId="0" applyNumberFormat="1" applyFont="1" applyFill="1" applyAlignment="1">
      <alignment horizontal="center" textRotation="90"/>
    </xf>
    <xf numFmtId="0" fontId="7" fillId="0" borderId="0" xfId="0" applyFont="1" applyAlignment="1">
      <alignment horizontal="center" textRotation="90"/>
    </xf>
    <xf numFmtId="49" fontId="7" fillId="2" borderId="4" xfId="0" applyNumberFormat="1" applyFont="1" applyFill="1" applyBorder="1" applyAlignment="1">
      <alignment horizontal="center"/>
    </xf>
    <xf numFmtId="3" fontId="7" fillId="2" borderId="4" xfId="0" applyNumberFormat="1" applyFont="1" applyFill="1" applyBorder="1" applyAlignment="1">
      <alignment horizontal="center"/>
    </xf>
    <xf numFmtId="3" fontId="7" fillId="7" borderId="4" xfId="0" applyNumberFormat="1" applyFont="1" applyFill="1" applyBorder="1" applyAlignment="1">
      <alignment horizontal="right"/>
    </xf>
    <xf numFmtId="0" fontId="7" fillId="2" borderId="4" xfId="0" applyFont="1" applyFill="1" applyBorder="1" applyAlignment="1">
      <alignment horizontal="right"/>
    </xf>
    <xf numFmtId="2" fontId="7" fillId="7" borderId="4" xfId="0" applyNumberFormat="1" applyFont="1" applyFill="1" applyBorder="1" applyAlignment="1">
      <alignment horizontal="right"/>
    </xf>
    <xf numFmtId="3" fontId="7" fillId="7" borderId="4" xfId="0" applyNumberFormat="1" applyFont="1" applyFill="1" applyBorder="1"/>
    <xf numFmtId="167" fontId="3" fillId="7" borderId="4" xfId="1" applyNumberFormat="1" applyFont="1" applyFill="1" applyBorder="1"/>
    <xf numFmtId="14" fontId="4" fillId="7" borderId="4" xfId="0" applyNumberFormat="1" applyFont="1" applyFill="1" applyBorder="1" applyAlignment="1">
      <alignment horizontal="left"/>
    </xf>
    <xf numFmtId="164" fontId="3" fillId="6" borderId="0" xfId="1" applyFont="1" applyFill="1"/>
    <xf numFmtId="0" fontId="6" fillId="8" borderId="1" xfId="0" applyFont="1" applyFill="1" applyBorder="1" applyAlignment="1">
      <alignment horizontal="left"/>
    </xf>
    <xf numFmtId="167" fontId="7" fillId="7" borderId="4" xfId="0" applyNumberFormat="1" applyFont="1" applyFill="1" applyBorder="1"/>
    <xf numFmtId="0" fontId="7" fillId="2" borderId="0" xfId="0" applyFont="1" applyFill="1"/>
    <xf numFmtId="0" fontId="19" fillId="2" borderId="0" xfId="0" applyFont="1" applyFill="1"/>
    <xf numFmtId="14" fontId="19" fillId="2" borderId="4" xfId="0" applyNumberFormat="1" applyFont="1" applyFill="1" applyBorder="1"/>
    <xf numFmtId="0" fontId="9" fillId="2" borderId="0" xfId="0" applyFont="1" applyFill="1"/>
    <xf numFmtId="0" fontId="6" fillId="8" borderId="2" xfId="0" applyFont="1" applyFill="1" applyBorder="1"/>
    <xf numFmtId="0" fontId="7" fillId="2" borderId="0" xfId="0" applyFont="1" applyFill="1" applyAlignment="1">
      <alignment textRotation="90"/>
    </xf>
    <xf numFmtId="0" fontId="7" fillId="2" borderId="5" xfId="0" applyFont="1" applyFill="1" applyBorder="1"/>
    <xf numFmtId="0" fontId="7" fillId="2" borderId="5" xfId="0" applyFont="1" applyFill="1" applyBorder="1" applyAlignment="1">
      <alignment horizontal="right"/>
    </xf>
    <xf numFmtId="0" fontId="7" fillId="2" borderId="7" xfId="0" applyFont="1" applyFill="1" applyBorder="1"/>
    <xf numFmtId="0" fontId="3" fillId="5" borderId="1" xfId="0" applyFont="1" applyFill="1" applyBorder="1"/>
    <xf numFmtId="0" fontId="21" fillId="2" borderId="0" xfId="0" applyFont="1" applyFill="1"/>
    <xf numFmtId="165" fontId="22" fillId="2" borderId="0" xfId="0" applyNumberFormat="1" applyFont="1" applyFill="1"/>
    <xf numFmtId="3" fontId="22" fillId="2" borderId="0" xfId="0" applyNumberFormat="1" applyFont="1" applyFill="1" applyAlignment="1">
      <alignment horizontal="center"/>
    </xf>
    <xf numFmtId="0" fontId="3" fillId="5" borderId="2" xfId="0" applyFont="1" applyFill="1" applyBorder="1"/>
    <xf numFmtId="0" fontId="3" fillId="5" borderId="3" xfId="0" applyFont="1" applyFill="1" applyBorder="1"/>
    <xf numFmtId="166" fontId="7" fillId="7" borderId="4" xfId="0" applyNumberFormat="1" applyFont="1" applyFill="1" applyBorder="1" applyAlignment="1">
      <alignment horizontal="right"/>
    </xf>
    <xf numFmtId="164" fontId="7" fillId="2" borderId="0" xfId="1" applyFont="1" applyFill="1"/>
    <xf numFmtId="0" fontId="3" fillId="2" borderId="0" xfId="0" applyFont="1" applyFill="1" applyAlignment="1">
      <alignment horizontal="left"/>
    </xf>
    <xf numFmtId="165" fontId="20" fillId="2" borderId="0" xfId="0" applyNumberFormat="1" applyFont="1" applyFill="1" applyAlignment="1">
      <alignment horizontal="center"/>
    </xf>
    <xf numFmtId="3" fontId="20" fillId="2" borderId="0" xfId="0" applyNumberFormat="1" applyFont="1" applyFill="1" applyAlignment="1">
      <alignment horizontal="center"/>
    </xf>
    <xf numFmtId="1" fontId="7" fillId="7" borderId="4" xfId="0" applyNumberFormat="1" applyFont="1" applyFill="1" applyBorder="1" applyAlignment="1">
      <alignment horizontal="right"/>
    </xf>
    <xf numFmtId="0" fontId="20" fillId="2" borderId="0" xfId="0" applyFont="1" applyFill="1"/>
    <xf numFmtId="14" fontId="7" fillId="2" borderId="0" xfId="0" applyNumberFormat="1" applyFont="1" applyFill="1" applyAlignment="1">
      <alignment horizontal="left"/>
    </xf>
    <xf numFmtId="165" fontId="22" fillId="4" borderId="1" xfId="0" applyNumberFormat="1" applyFont="1" applyFill="1" applyBorder="1" applyAlignment="1">
      <alignment horizontal="left"/>
    </xf>
    <xf numFmtId="165" fontId="22" fillId="4" borderId="3" xfId="0" applyNumberFormat="1" applyFont="1" applyFill="1" applyBorder="1" applyAlignment="1">
      <alignment horizontal="center"/>
    </xf>
    <xf numFmtId="0" fontId="21" fillId="0" borderId="0" xfId="0" applyFont="1"/>
    <xf numFmtId="3" fontId="22" fillId="2" borderId="0" xfId="0" applyNumberFormat="1" applyFont="1" applyFill="1" applyAlignment="1">
      <alignment horizontal="left"/>
    </xf>
    <xf numFmtId="3" fontId="22" fillId="2" borderId="0" xfId="0" applyNumberFormat="1" applyFont="1" applyFill="1" applyAlignment="1">
      <alignment horizontal="center" wrapText="1"/>
    </xf>
    <xf numFmtId="165" fontId="7" fillId="7" borderId="4" xfId="1" applyNumberFormat="1" applyFont="1" applyFill="1" applyBorder="1" applyAlignment="1">
      <alignment horizontal="right"/>
    </xf>
    <xf numFmtId="3" fontId="20" fillId="7" borderId="4" xfId="0" applyNumberFormat="1" applyFont="1" applyFill="1" applyBorder="1"/>
    <xf numFmtId="3" fontId="7" fillId="2" borderId="4" xfId="0" applyNumberFormat="1" applyFont="1" applyFill="1" applyBorder="1" applyAlignment="1">
      <alignment horizontal="right"/>
    </xf>
    <xf numFmtId="3" fontId="20" fillId="7" borderId="9" xfId="0" applyNumberFormat="1" applyFont="1" applyFill="1" applyBorder="1"/>
    <xf numFmtId="3" fontId="20" fillId="2" borderId="0" xfId="0" applyNumberFormat="1" applyFont="1" applyFill="1"/>
    <xf numFmtId="0" fontId="23" fillId="2" borderId="0" xfId="0" applyFont="1" applyFill="1"/>
    <xf numFmtId="0" fontId="24" fillId="2" borderId="0" xfId="0" applyFont="1" applyFill="1"/>
    <xf numFmtId="0" fontId="20" fillId="2" borderId="4" xfId="0" applyFont="1" applyFill="1" applyBorder="1" applyAlignment="1">
      <alignment horizontal="right"/>
    </xf>
    <xf numFmtId="0" fontId="20" fillId="2" borderId="0" xfId="0" applyFont="1" applyFill="1" applyAlignment="1">
      <alignment horizontal="right"/>
    </xf>
    <xf numFmtId="0" fontId="20" fillId="7" borderId="4" xfId="0" applyFont="1" applyFill="1" applyBorder="1" applyAlignment="1">
      <alignment horizontal="right"/>
    </xf>
    <xf numFmtId="49" fontId="20" fillId="7" borderId="4" xfId="0" applyNumberFormat="1" applyFont="1" applyFill="1" applyBorder="1" applyAlignment="1">
      <alignment horizontal="right"/>
    </xf>
    <xf numFmtId="2" fontId="20" fillId="7" borderId="4" xfId="0" applyNumberFormat="1" applyFont="1" applyFill="1" applyBorder="1" applyAlignment="1">
      <alignment horizontal="right"/>
    </xf>
    <xf numFmtId="3" fontId="20" fillId="7" borderId="11" xfId="0" applyNumberFormat="1" applyFont="1" applyFill="1" applyBorder="1"/>
    <xf numFmtId="3" fontId="20" fillId="2" borderId="9" xfId="0" applyNumberFormat="1" applyFont="1" applyFill="1" applyBorder="1"/>
    <xf numFmtId="1" fontId="20" fillId="2" borderId="0" xfId="0" applyNumberFormat="1" applyFont="1" applyFill="1"/>
    <xf numFmtId="167" fontId="20" fillId="7" borderId="4" xfId="1" applyNumberFormat="1" applyFont="1" applyFill="1" applyBorder="1"/>
    <xf numFmtId="164" fontId="20" fillId="7" borderId="4" xfId="1" applyFont="1" applyFill="1" applyBorder="1"/>
    <xf numFmtId="167" fontId="20" fillId="0" borderId="4" xfId="1" applyNumberFormat="1" applyFont="1" applyBorder="1"/>
    <xf numFmtId="0" fontId="20" fillId="0" borderId="0" xfId="0" applyFont="1"/>
    <xf numFmtId="49" fontId="20" fillId="2" borderId="4" xfId="0" applyNumberFormat="1" applyFont="1" applyFill="1" applyBorder="1" applyAlignment="1">
      <alignment horizontal="center"/>
    </xf>
    <xf numFmtId="3" fontId="20" fillId="12" borderId="4" xfId="0" applyNumberFormat="1" applyFont="1" applyFill="1" applyBorder="1" applyAlignment="1">
      <alignment horizontal="center"/>
    </xf>
    <xf numFmtId="3" fontId="20" fillId="2" borderId="4" xfId="0" applyNumberFormat="1" applyFont="1" applyFill="1" applyBorder="1" applyAlignment="1">
      <alignment horizontal="center"/>
    </xf>
    <xf numFmtId="164" fontId="20" fillId="0" borderId="0" xfId="1" applyFont="1"/>
    <xf numFmtId="0" fontId="25" fillId="2" borderId="0" xfId="0" applyFont="1" applyFill="1"/>
    <xf numFmtId="164" fontId="25" fillId="2" borderId="0" xfId="1" applyFont="1" applyFill="1"/>
    <xf numFmtId="2" fontId="20" fillId="2" borderId="5" xfId="0" applyNumberFormat="1" applyFont="1" applyFill="1" applyBorder="1"/>
    <xf numFmtId="0" fontId="20" fillId="5" borderId="5" xfId="0" applyFont="1" applyFill="1" applyBorder="1"/>
    <xf numFmtId="0" fontId="20" fillId="2" borderId="9" xfId="0" applyFont="1" applyFill="1" applyBorder="1" applyAlignment="1">
      <alignment horizontal="center"/>
    </xf>
    <xf numFmtId="0" fontId="20" fillId="2" borderId="4" xfId="0" applyFont="1" applyFill="1" applyBorder="1" applyAlignment="1">
      <alignment horizontal="center"/>
    </xf>
    <xf numFmtId="0" fontId="20" fillId="2" borderId="0" xfId="0" applyFont="1" applyFill="1" applyAlignment="1">
      <alignment horizontal="center"/>
    </xf>
    <xf numFmtId="0" fontId="20" fillId="0" borderId="4" xfId="0" applyFont="1" applyBorder="1" applyAlignment="1">
      <alignment horizontal="center"/>
    </xf>
    <xf numFmtId="0" fontId="20" fillId="2" borderId="0" xfId="0" applyFont="1" applyFill="1" applyAlignment="1">
      <alignment horizontal="left"/>
    </xf>
    <xf numFmtId="164" fontId="20" fillId="2" borderId="0" xfId="1" applyFont="1" applyFill="1"/>
    <xf numFmtId="0" fontId="7" fillId="2" borderId="3" xfId="0" applyFont="1" applyFill="1" applyBorder="1" applyAlignment="1">
      <alignment horizontal="left" vertical="center"/>
    </xf>
    <xf numFmtId="0" fontId="7" fillId="2" borderId="1" xfId="0" applyFont="1" applyFill="1" applyBorder="1" applyAlignment="1">
      <alignment horizontal="right" vertical="center"/>
    </xf>
    <xf numFmtId="168" fontId="20" fillId="0" borderId="4" xfId="1" applyNumberFormat="1" applyFont="1" applyBorder="1"/>
    <xf numFmtId="168" fontId="3" fillId="7" borderId="4" xfId="1" applyNumberFormat="1" applyFont="1" applyFill="1" applyBorder="1"/>
    <xf numFmtId="165" fontId="20" fillId="2" borderId="4" xfId="0" applyNumberFormat="1" applyFont="1" applyFill="1" applyBorder="1" applyAlignment="1">
      <alignment horizontal="right"/>
    </xf>
    <xf numFmtId="0" fontId="8" fillId="3" borderId="4" xfId="0" applyFont="1" applyFill="1" applyBorder="1" applyAlignment="1">
      <alignment horizontal="left"/>
    </xf>
    <xf numFmtId="0" fontId="8" fillId="3" borderId="4" xfId="0" applyFont="1" applyFill="1" applyBorder="1" applyAlignment="1">
      <alignment horizontal="center"/>
    </xf>
    <xf numFmtId="165" fontId="8" fillId="3" borderId="4" xfId="0" applyNumberFormat="1" applyFont="1" applyFill="1" applyBorder="1" applyAlignment="1">
      <alignment horizontal="center" wrapText="1"/>
    </xf>
    <xf numFmtId="2" fontId="8" fillId="5" borderId="3" xfId="0" applyNumberFormat="1" applyFont="1" applyFill="1" applyBorder="1" applyAlignment="1">
      <alignment horizontal="center" textRotation="90"/>
    </xf>
    <xf numFmtId="2" fontId="8" fillId="5" borderId="4" xfId="0" applyNumberFormat="1" applyFont="1" applyFill="1" applyBorder="1" applyAlignment="1">
      <alignment horizontal="center" textRotation="90" wrapText="1"/>
    </xf>
    <xf numFmtId="2" fontId="8" fillId="5" borderId="4" xfId="0" applyNumberFormat="1" applyFont="1" applyFill="1" applyBorder="1" applyAlignment="1">
      <alignment horizontal="center" textRotation="90"/>
    </xf>
    <xf numFmtId="164" fontId="8" fillId="8" borderId="3" xfId="1" applyFont="1" applyFill="1" applyBorder="1" applyAlignment="1"/>
    <xf numFmtId="0" fontId="19" fillId="0" borderId="0" xfId="0" applyFont="1"/>
    <xf numFmtId="14" fontId="7" fillId="2" borderId="14" xfId="0" applyNumberFormat="1" applyFont="1" applyFill="1" applyBorder="1" applyAlignment="1">
      <alignment horizontal="left"/>
    </xf>
    <xf numFmtId="3" fontId="20" fillId="10" borderId="5" xfId="0" applyNumberFormat="1" applyFont="1" applyFill="1" applyBorder="1" applyAlignment="1">
      <alignment horizontal="left"/>
    </xf>
    <xf numFmtId="3" fontId="20" fillId="10" borderId="5" xfId="0" applyNumberFormat="1" applyFont="1" applyFill="1" applyBorder="1" applyAlignment="1">
      <alignment horizontal="center"/>
    </xf>
    <xf numFmtId="3" fontId="20" fillId="10" borderId="7" xfId="0" applyNumberFormat="1" applyFont="1" applyFill="1" applyBorder="1" applyAlignment="1">
      <alignment horizontal="center"/>
    </xf>
    <xf numFmtId="3" fontId="20" fillId="10" borderId="5" xfId="0" applyNumberFormat="1" applyFont="1" applyFill="1" applyBorder="1"/>
    <xf numFmtId="3" fontId="20" fillId="10" borderId="9" xfId="0" applyNumberFormat="1" applyFont="1" applyFill="1" applyBorder="1" applyAlignment="1">
      <alignment horizontal="center" vertical="top"/>
    </xf>
    <xf numFmtId="3" fontId="20" fillId="10" borderId="11" xfId="0" applyNumberFormat="1" applyFont="1" applyFill="1" applyBorder="1" applyAlignment="1">
      <alignment vertical="top"/>
    </xf>
    <xf numFmtId="3" fontId="20" fillId="10" borderId="9" xfId="0" applyNumberFormat="1" applyFont="1" applyFill="1" applyBorder="1" applyAlignment="1">
      <alignment horizontal="center" vertical="top" wrapText="1"/>
    </xf>
    <xf numFmtId="3" fontId="20" fillId="10" borderId="10" xfId="0" applyNumberFormat="1" applyFont="1" applyFill="1" applyBorder="1" applyAlignment="1">
      <alignment horizontal="center" vertical="top"/>
    </xf>
    <xf numFmtId="3" fontId="20" fillId="10" borderId="6" xfId="0" applyNumberFormat="1" applyFont="1" applyFill="1" applyBorder="1" applyAlignment="1">
      <alignment horizontal="center" vertical="top"/>
    </xf>
    <xf numFmtId="3" fontId="20" fillId="10" borderId="12" xfId="0" applyNumberFormat="1" applyFont="1" applyFill="1" applyBorder="1" applyAlignment="1">
      <alignment horizontal="center" vertical="top" wrapText="1"/>
    </xf>
    <xf numFmtId="3" fontId="20" fillId="10" borderId="9" xfId="0" applyNumberFormat="1" applyFont="1" applyFill="1" applyBorder="1" applyAlignment="1">
      <alignment vertical="top"/>
    </xf>
    <xf numFmtId="9" fontId="20" fillId="11" borderId="4" xfId="2" applyFont="1" applyFill="1" applyBorder="1" applyAlignment="1">
      <alignment horizontal="right"/>
    </xf>
    <xf numFmtId="3" fontId="20" fillId="0" borderId="4" xfId="0" applyNumberFormat="1" applyFont="1" applyBorder="1"/>
    <xf numFmtId="9" fontId="20" fillId="7" borderId="3" xfId="0" applyNumberFormat="1" applyFont="1" applyFill="1" applyBorder="1"/>
    <xf numFmtId="3" fontId="20" fillId="0" borderId="3" xfId="0" applyNumberFormat="1" applyFont="1" applyBorder="1"/>
    <xf numFmtId="3" fontId="20" fillId="0" borderId="5" xfId="0" applyNumberFormat="1" applyFont="1" applyBorder="1"/>
    <xf numFmtId="3" fontId="20" fillId="0" borderId="8" xfId="0" applyNumberFormat="1" applyFont="1" applyBorder="1"/>
    <xf numFmtId="0" fontId="20" fillId="7" borderId="4" xfId="0" applyFont="1" applyFill="1" applyBorder="1" applyAlignment="1">
      <alignment horizontal="left"/>
    </xf>
    <xf numFmtId="3" fontId="22" fillId="7" borderId="13" xfId="0" applyNumberFormat="1" applyFont="1" applyFill="1" applyBorder="1"/>
    <xf numFmtId="3" fontId="20" fillId="0" borderId="0" xfId="0" applyNumberFormat="1" applyFont="1"/>
    <xf numFmtId="3" fontId="22" fillId="0" borderId="0" xfId="0" applyNumberFormat="1" applyFont="1"/>
    <xf numFmtId="0" fontId="3" fillId="5" borderId="4" xfId="0" applyFont="1" applyFill="1" applyBorder="1" applyAlignment="1">
      <alignment horizontal="right" vertical="center"/>
    </xf>
    <xf numFmtId="168" fontId="20" fillId="7" borderId="4" xfId="1" applyNumberFormat="1" applyFont="1" applyFill="1" applyBorder="1"/>
    <xf numFmtId="168" fontId="20" fillId="7" borderId="9" xfId="1" applyNumberFormat="1" applyFont="1" applyFill="1" applyBorder="1"/>
    <xf numFmtId="2" fontId="20" fillId="2" borderId="4" xfId="0" applyNumberFormat="1" applyFont="1" applyFill="1" applyBorder="1"/>
    <xf numFmtId="168" fontId="20" fillId="2" borderId="4" xfId="1" applyNumberFormat="1" applyFont="1" applyFill="1" applyBorder="1" applyAlignment="1">
      <alignment horizontal="right"/>
    </xf>
    <xf numFmtId="168" fontId="7" fillId="7" borderId="4" xfId="1" applyNumberFormat="1" applyFont="1" applyFill="1" applyBorder="1" applyAlignment="1">
      <alignment horizontal="right"/>
    </xf>
    <xf numFmtId="0" fontId="8" fillId="8" borderId="9" xfId="0" applyFont="1" applyFill="1" applyBorder="1" applyAlignment="1">
      <alignment horizontal="center" textRotation="90"/>
    </xf>
    <xf numFmtId="164" fontId="8" fillId="8" borderId="9" xfId="1" applyFont="1" applyFill="1" applyBorder="1" applyAlignment="1">
      <alignment horizontal="center" textRotation="90"/>
    </xf>
    <xf numFmtId="165" fontId="8" fillId="9" borderId="4" xfId="0" applyNumberFormat="1" applyFont="1" applyFill="1" applyBorder="1" applyAlignment="1">
      <alignment horizontal="center" textRotation="90" wrapText="1"/>
    </xf>
    <xf numFmtId="2" fontId="8" fillId="5" borderId="9" xfId="0" applyNumberFormat="1" applyFont="1" applyFill="1" applyBorder="1" applyAlignment="1">
      <alignment horizontal="center" textRotation="90"/>
    </xf>
    <xf numFmtId="0" fontId="8" fillId="5" borderId="4" xfId="0" applyFont="1" applyFill="1" applyBorder="1" applyAlignment="1">
      <alignment horizontal="center" textRotation="90"/>
    </xf>
    <xf numFmtId="0" fontId="8" fillId="9" borderId="4" xfId="0" applyFont="1" applyFill="1" applyBorder="1" applyAlignment="1">
      <alignment horizontal="center" textRotation="90"/>
    </xf>
    <xf numFmtId="0" fontId="8" fillId="9" borderId="4" xfId="0" applyFont="1" applyFill="1" applyBorder="1" applyAlignment="1">
      <alignment horizontal="center" textRotation="90" wrapText="1"/>
    </xf>
    <xf numFmtId="0" fontId="6" fillId="8" borderId="4" xfId="0" applyFont="1" applyFill="1" applyBorder="1" applyAlignment="1">
      <alignment horizontal="center" textRotation="90"/>
    </xf>
    <xf numFmtId="0" fontId="8" fillId="8" borderId="4" xfId="0" applyFont="1" applyFill="1" applyBorder="1" applyAlignment="1">
      <alignment horizontal="center" textRotation="90" wrapText="1"/>
    </xf>
    <xf numFmtId="0" fontId="10" fillId="8" borderId="9" xfId="0" applyFont="1" applyFill="1" applyBorder="1" applyAlignment="1">
      <alignment horizontal="center" textRotation="90"/>
    </xf>
    <xf numFmtId="0" fontId="10" fillId="8" borderId="4" xfId="0" applyFont="1" applyFill="1" applyBorder="1" applyAlignment="1">
      <alignment horizontal="center" textRotation="90"/>
    </xf>
    <xf numFmtId="2" fontId="8" fillId="5" borderId="11" xfId="0" applyNumberFormat="1" applyFont="1" applyFill="1" applyBorder="1" applyAlignment="1">
      <alignment horizontal="center" textRotation="90"/>
    </xf>
    <xf numFmtId="0" fontId="22" fillId="0" borderId="0" xfId="0" applyFont="1"/>
    <xf numFmtId="0" fontId="22" fillId="2" borderId="0" xfId="0" applyFont="1" applyFill="1"/>
    <xf numFmtId="164" fontId="22" fillId="0" borderId="0" xfId="1" applyFont="1"/>
    <xf numFmtId="0" fontId="22" fillId="8" borderId="4" xfId="0" applyFont="1" applyFill="1" applyBorder="1"/>
    <xf numFmtId="0" fontId="22" fillId="13" borderId="4" xfId="0" applyFont="1" applyFill="1" applyBorder="1"/>
    <xf numFmtId="0" fontId="22" fillId="3" borderId="4" xfId="0" applyFont="1" applyFill="1" applyBorder="1"/>
    <xf numFmtId="0" fontId="22" fillId="4" borderId="4" xfId="0" applyFont="1" applyFill="1" applyBorder="1"/>
    <xf numFmtId="0" fontId="22" fillId="3" borderId="1" xfId="0" applyFont="1" applyFill="1" applyBorder="1"/>
    <xf numFmtId="0" fontId="22" fillId="3" borderId="2" xfId="0" applyFont="1" applyFill="1" applyBorder="1"/>
    <xf numFmtId="0" fontId="22" fillId="3" borderId="3" xfId="0" applyFont="1" applyFill="1" applyBorder="1"/>
    <xf numFmtId="0" fontId="4" fillId="7" borderId="4" xfId="0" applyFont="1" applyFill="1" applyBorder="1" applyAlignment="1">
      <alignment horizontal="center"/>
    </xf>
    <xf numFmtId="3" fontId="22" fillId="4" borderId="2" xfId="0" applyNumberFormat="1" applyFont="1" applyFill="1" applyBorder="1" applyAlignment="1">
      <alignment horizontal="center"/>
    </xf>
    <xf numFmtId="9" fontId="20" fillId="7" borderId="4" xfId="0" applyNumberFormat="1" applyFont="1" applyFill="1" applyBorder="1"/>
    <xf numFmtId="9" fontId="20" fillId="0" borderId="4" xfId="0" applyNumberFormat="1" applyFont="1" applyBorder="1" applyAlignment="1">
      <alignment horizontal="center"/>
    </xf>
    <xf numFmtId="49" fontId="7" fillId="2" borderId="3" xfId="0" applyNumberFormat="1" applyFont="1" applyFill="1" applyBorder="1"/>
    <xf numFmtId="0" fontId="8" fillId="3" borderId="1" xfId="0" applyFont="1" applyFill="1" applyBorder="1"/>
    <xf numFmtId="0" fontId="8" fillId="3" borderId="3" xfId="0" applyFont="1" applyFill="1" applyBorder="1"/>
    <xf numFmtId="1" fontId="32" fillId="0" borderId="4" xfId="0" applyNumberFormat="1" applyFont="1" applyBorder="1" applyAlignment="1">
      <alignment horizontal="center"/>
    </xf>
    <xf numFmtId="1" fontId="32" fillId="14" borderId="4" xfId="0" applyNumberFormat="1" applyFont="1" applyFill="1" applyBorder="1" applyAlignment="1">
      <alignment horizontal="center"/>
    </xf>
    <xf numFmtId="1" fontId="32" fillId="15" borderId="4" xfId="0" applyNumberFormat="1" applyFont="1" applyFill="1" applyBorder="1" applyAlignment="1">
      <alignment horizontal="center"/>
    </xf>
    <xf numFmtId="0" fontId="32" fillId="0" borderId="4" xfId="0" applyFont="1" applyBorder="1" applyAlignment="1">
      <alignment horizontal="center"/>
    </xf>
    <xf numFmtId="0" fontId="33" fillId="2" borderId="4" xfId="0" applyFont="1" applyFill="1" applyBorder="1"/>
    <xf numFmtId="166" fontId="20" fillId="2" borderId="4" xfId="0" applyNumberFormat="1" applyFont="1" applyFill="1" applyBorder="1" applyAlignment="1">
      <alignment horizontal="right"/>
    </xf>
    <xf numFmtId="49" fontId="20" fillId="0" borderId="3" xfId="0" applyNumberFormat="1" applyFont="1" applyBorder="1" applyAlignment="1">
      <alignment horizontal="left"/>
    </xf>
    <xf numFmtId="0" fontId="20" fillId="0" borderId="4" xfId="0" applyFont="1" applyBorder="1"/>
    <xf numFmtId="166" fontId="20" fillId="0" borderId="4" xfId="0" applyNumberFormat="1" applyFont="1" applyBorder="1" applyAlignment="1">
      <alignment horizontal="right" indent="1"/>
    </xf>
    <xf numFmtId="1" fontId="20" fillId="0" borderId="4" xfId="0" applyNumberFormat="1" applyFont="1" applyBorder="1" applyAlignment="1">
      <alignment horizontal="center"/>
    </xf>
    <xf numFmtId="49" fontId="20" fillId="2" borderId="3" xfId="0" applyNumberFormat="1" applyFont="1" applyFill="1" applyBorder="1" applyAlignment="1">
      <alignment horizontal="left"/>
    </xf>
    <xf numFmtId="0" fontId="20" fillId="2" borderId="4" xfId="0" applyFont="1" applyFill="1" applyBorder="1"/>
    <xf numFmtId="166" fontId="20" fillId="2" borderId="4" xfId="0" applyNumberFormat="1" applyFont="1" applyFill="1" applyBorder="1" applyAlignment="1">
      <alignment horizontal="right" indent="1"/>
    </xf>
    <xf numFmtId="0" fontId="20" fillId="0" borderId="3" xfId="0" applyFont="1" applyBorder="1" applyAlignment="1">
      <alignment horizontal="left"/>
    </xf>
    <xf numFmtId="0" fontId="34" fillId="2" borderId="4" xfId="0" applyFont="1" applyFill="1" applyBorder="1"/>
    <xf numFmtId="0" fontId="7" fillId="2" borderId="4" xfId="0" applyFont="1" applyFill="1" applyBorder="1"/>
    <xf numFmtId="49" fontId="7" fillId="2" borderId="11" xfId="0" applyNumberFormat="1" applyFont="1" applyFill="1" applyBorder="1"/>
    <xf numFmtId="49" fontId="20" fillId="2" borderId="9" xfId="0" applyNumberFormat="1" applyFont="1" applyFill="1" applyBorder="1" applyAlignment="1">
      <alignment horizontal="center"/>
    </xf>
    <xf numFmtId="1" fontId="20" fillId="0" borderId="9" xfId="0" applyNumberFormat="1" applyFont="1" applyBorder="1" applyAlignment="1">
      <alignment horizontal="center"/>
    </xf>
    <xf numFmtId="165" fontId="7" fillId="7" borderId="9" xfId="1" applyNumberFormat="1" applyFont="1" applyFill="1" applyBorder="1" applyAlignment="1">
      <alignment horizontal="right"/>
    </xf>
    <xf numFmtId="168" fontId="7" fillId="7" borderId="9" xfId="1" applyNumberFormat="1" applyFont="1" applyFill="1" applyBorder="1" applyAlignment="1">
      <alignment horizontal="right"/>
    </xf>
    <xf numFmtId="9" fontId="20" fillId="7" borderId="9" xfId="0" applyNumberFormat="1" applyFont="1" applyFill="1" applyBorder="1"/>
    <xf numFmtId="1" fontId="32" fillId="14" borderId="9" xfId="0" applyNumberFormat="1" applyFont="1" applyFill="1" applyBorder="1" applyAlignment="1">
      <alignment horizontal="center"/>
    </xf>
    <xf numFmtId="1" fontId="32" fillId="15" borderId="9" xfId="0" applyNumberFormat="1" applyFont="1" applyFill="1" applyBorder="1" applyAlignment="1">
      <alignment horizontal="center"/>
    </xf>
    <xf numFmtId="1" fontId="32" fillId="0" borderId="9" xfId="0" applyNumberFormat="1" applyFont="1" applyBorder="1" applyAlignment="1">
      <alignment horizontal="center"/>
    </xf>
    <xf numFmtId="3" fontId="20" fillId="12" borderId="9" xfId="0" applyNumberFormat="1" applyFont="1" applyFill="1" applyBorder="1" applyAlignment="1">
      <alignment horizontal="center"/>
    </xf>
    <xf numFmtId="0" fontId="32" fillId="0" borderId="9" xfId="0" applyFont="1" applyBorder="1" applyAlignment="1">
      <alignment horizontal="center"/>
    </xf>
    <xf numFmtId="3" fontId="20" fillId="2" borderId="9" xfId="0" applyNumberFormat="1" applyFont="1" applyFill="1" applyBorder="1" applyAlignment="1">
      <alignment horizontal="center"/>
    </xf>
    <xf numFmtId="49" fontId="20" fillId="7" borderId="9" xfId="0" applyNumberFormat="1" applyFont="1" applyFill="1" applyBorder="1" applyAlignment="1">
      <alignment horizontal="right"/>
    </xf>
    <xf numFmtId="3" fontId="7" fillId="7" borderId="9" xfId="0" applyNumberFormat="1" applyFont="1" applyFill="1" applyBorder="1" applyAlignment="1">
      <alignment horizontal="right"/>
    </xf>
    <xf numFmtId="0" fontId="7" fillId="2" borderId="9" xfId="0" applyFont="1" applyFill="1" applyBorder="1"/>
    <xf numFmtId="2" fontId="20" fillId="7" borderId="9" xfId="0" applyNumberFormat="1" applyFont="1" applyFill="1" applyBorder="1" applyAlignment="1">
      <alignment horizontal="right"/>
    </xf>
    <xf numFmtId="0" fontId="20" fillId="2" borderId="9" xfId="0" applyFont="1" applyFill="1" applyBorder="1" applyAlignment="1">
      <alignment horizontal="right"/>
    </xf>
    <xf numFmtId="166" fontId="20" fillId="2" borderId="9" xfId="0" applyNumberFormat="1" applyFont="1" applyFill="1" applyBorder="1" applyAlignment="1">
      <alignment horizontal="right"/>
    </xf>
    <xf numFmtId="0" fontId="7" fillId="2" borderId="9" xfId="0" applyFont="1" applyFill="1" applyBorder="1" applyAlignment="1">
      <alignment horizontal="right"/>
    </xf>
    <xf numFmtId="2" fontId="7" fillId="7" borderId="9" xfId="0" applyNumberFormat="1" applyFont="1" applyFill="1" applyBorder="1" applyAlignment="1">
      <alignment horizontal="right"/>
    </xf>
    <xf numFmtId="3" fontId="7" fillId="7" borderId="9" xfId="0" applyNumberFormat="1" applyFont="1" applyFill="1" applyBorder="1"/>
    <xf numFmtId="167" fontId="20" fillId="7" borderId="9" xfId="1" applyNumberFormat="1" applyFont="1" applyFill="1" applyBorder="1"/>
    <xf numFmtId="164" fontId="20" fillId="7" borderId="9" xfId="1" applyFont="1" applyFill="1" applyBorder="1"/>
    <xf numFmtId="168" fontId="20" fillId="0" borderId="9" xfId="1" applyNumberFormat="1" applyFont="1" applyBorder="1"/>
    <xf numFmtId="168" fontId="3" fillId="7" borderId="9" xfId="1" applyNumberFormat="1" applyFont="1" applyFill="1" applyBorder="1"/>
    <xf numFmtId="167" fontId="7" fillId="7" borderId="9" xfId="0" applyNumberFormat="1" applyFont="1" applyFill="1" applyBorder="1"/>
    <xf numFmtId="167" fontId="20" fillId="0" borderId="9" xfId="1" applyNumberFormat="1" applyFont="1" applyBorder="1"/>
    <xf numFmtId="167" fontId="3" fillId="7" borderId="9" xfId="1" applyNumberFormat="1" applyFont="1" applyFill="1" applyBorder="1"/>
    <xf numFmtId="0" fontId="20" fillId="2" borderId="15" xfId="0" applyFont="1" applyFill="1" applyBorder="1" applyAlignment="1">
      <alignment horizontal="right"/>
    </xf>
    <xf numFmtId="3" fontId="20" fillId="2" borderId="15" xfId="0" applyNumberFormat="1" applyFont="1" applyFill="1" applyBorder="1"/>
    <xf numFmtId="3" fontId="20" fillId="7" borderId="16" xfId="0" applyNumberFormat="1" applyFont="1" applyFill="1" applyBorder="1"/>
    <xf numFmtId="168" fontId="20" fillId="7" borderId="17" xfId="1" applyNumberFormat="1" applyFont="1" applyFill="1" applyBorder="1"/>
    <xf numFmtId="3" fontId="20" fillId="2" borderId="17" xfId="0" applyNumberFormat="1" applyFont="1" applyFill="1" applyBorder="1"/>
    <xf numFmtId="1" fontId="20" fillId="2" borderId="15" xfId="0" applyNumberFormat="1" applyFont="1" applyFill="1" applyBorder="1"/>
    <xf numFmtId="0" fontId="20" fillId="0" borderId="15" xfId="0" applyFont="1" applyBorder="1"/>
    <xf numFmtId="49" fontId="20" fillId="0" borderId="4" xfId="0" applyNumberFormat="1" applyFont="1" applyBorder="1" applyAlignment="1">
      <alignment horizontal="left"/>
    </xf>
    <xf numFmtId="0" fontId="0" fillId="0" borderId="4" xfId="0" applyBorder="1"/>
    <xf numFmtId="3" fontId="20" fillId="2" borderId="4" xfId="0" applyNumberFormat="1" applyFont="1" applyFill="1" applyBorder="1"/>
    <xf numFmtId="49" fontId="20" fillId="2" borderId="4" xfId="0" applyNumberFormat="1" applyFont="1" applyFill="1" applyBorder="1" applyAlignment="1">
      <alignment horizontal="left"/>
    </xf>
    <xf numFmtId="0" fontId="20" fillId="2" borderId="4" xfId="0" applyFont="1" applyFill="1" applyBorder="1" applyAlignment="1">
      <alignment horizontal="left"/>
    </xf>
    <xf numFmtId="0" fontId="20" fillId="0" borderId="4" xfId="0" applyFont="1" applyBorder="1" applyAlignment="1">
      <alignment horizontal="left"/>
    </xf>
    <xf numFmtId="0" fontId="0" fillId="16" borderId="4" xfId="0" applyFill="1" applyBorder="1"/>
    <xf numFmtId="0" fontId="0" fillId="3" borderId="4" xfId="0" applyFill="1" applyBorder="1"/>
    <xf numFmtId="0" fontId="20" fillId="0" borderId="3" xfId="0" applyFont="1" applyBorder="1"/>
    <xf numFmtId="49" fontId="7" fillId="2" borderId="4" xfId="0" applyNumberFormat="1" applyFont="1" applyFill="1" applyBorder="1"/>
    <xf numFmtId="0" fontId="20" fillId="0" borderId="1" xfId="0" applyFont="1" applyBorder="1"/>
    <xf numFmtId="0" fontId="20" fillId="0" borderId="9" xfId="0" applyFont="1" applyBorder="1"/>
    <xf numFmtId="166" fontId="20" fillId="0" borderId="9" xfId="0" applyNumberFormat="1" applyFont="1" applyBorder="1" applyAlignment="1">
      <alignment horizontal="right" indent="1"/>
    </xf>
    <xf numFmtId="1" fontId="22" fillId="13" borderId="4" xfId="0" applyNumberFormat="1" applyFont="1" applyFill="1" applyBorder="1"/>
    <xf numFmtId="0" fontId="20" fillId="2" borderId="3" xfId="0" applyFont="1" applyFill="1" applyBorder="1" applyAlignment="1">
      <alignment horizontal="left"/>
    </xf>
    <xf numFmtId="0" fontId="20" fillId="17" borderId="0" xfId="0" applyFont="1" applyFill="1"/>
    <xf numFmtId="0" fontId="20" fillId="17" borderId="3" xfId="0" applyFont="1" applyFill="1" applyBorder="1"/>
    <xf numFmtId="0" fontId="20" fillId="17" borderId="4" xfId="0" applyFont="1" applyFill="1" applyBorder="1"/>
    <xf numFmtId="49" fontId="7" fillId="17" borderId="3" xfId="0" applyNumberFormat="1" applyFont="1" applyFill="1" applyBorder="1"/>
    <xf numFmtId="49" fontId="20" fillId="17" borderId="4" xfId="0" applyNumberFormat="1" applyFont="1" applyFill="1" applyBorder="1" applyAlignment="1">
      <alignment horizontal="center"/>
    </xf>
    <xf numFmtId="166" fontId="20" fillId="17" borderId="4" xfId="0" applyNumberFormat="1" applyFont="1" applyFill="1" applyBorder="1" applyAlignment="1">
      <alignment horizontal="right" indent="1"/>
    </xf>
    <xf numFmtId="1" fontId="20" fillId="17" borderId="4" xfId="0" applyNumberFormat="1" applyFont="1" applyFill="1" applyBorder="1" applyAlignment="1">
      <alignment horizontal="center"/>
    </xf>
    <xf numFmtId="0" fontId="20" fillId="17" borderId="0" xfId="0" applyFont="1" applyFill="1" applyAlignment="1">
      <alignment horizontal="right"/>
    </xf>
    <xf numFmtId="165" fontId="7" fillId="17" borderId="4" xfId="1" applyNumberFormat="1" applyFont="1" applyFill="1" applyBorder="1" applyAlignment="1">
      <alignment horizontal="right"/>
    </xf>
    <xf numFmtId="168" fontId="7" fillId="17" borderId="4" xfId="1" applyNumberFormat="1" applyFont="1" applyFill="1" applyBorder="1" applyAlignment="1">
      <alignment horizontal="right"/>
    </xf>
    <xf numFmtId="3" fontId="20" fillId="17" borderId="4" xfId="0" applyNumberFormat="1" applyFont="1" applyFill="1" applyBorder="1"/>
    <xf numFmtId="9" fontId="20" fillId="17" borderId="4" xfId="0" applyNumberFormat="1" applyFont="1" applyFill="1" applyBorder="1"/>
    <xf numFmtId="1" fontId="32" fillId="17" borderId="4" xfId="0" applyNumberFormat="1" applyFont="1" applyFill="1" applyBorder="1" applyAlignment="1">
      <alignment horizontal="center"/>
    </xf>
    <xf numFmtId="3" fontId="20" fillId="17" borderId="4" xfId="0" applyNumberFormat="1" applyFont="1" applyFill="1" applyBorder="1" applyAlignment="1">
      <alignment horizontal="center"/>
    </xf>
    <xf numFmtId="0" fontId="32" fillId="17" borderId="4" xfId="0" applyFont="1" applyFill="1" applyBorder="1" applyAlignment="1">
      <alignment horizontal="center"/>
    </xf>
    <xf numFmtId="3" fontId="20" fillId="17" borderId="0" xfId="0" applyNumberFormat="1" applyFont="1" applyFill="1"/>
    <xf numFmtId="0" fontId="20" fillId="17" borderId="4" xfId="0" applyFont="1" applyFill="1" applyBorder="1" applyAlignment="1">
      <alignment horizontal="right"/>
    </xf>
    <xf numFmtId="49" fontId="20" fillId="17" borderId="4" xfId="0" applyNumberFormat="1" applyFont="1" applyFill="1" applyBorder="1" applyAlignment="1">
      <alignment horizontal="right"/>
    </xf>
    <xf numFmtId="3" fontId="7" fillId="17" borderId="4" xfId="0" applyNumberFormat="1" applyFont="1" applyFill="1" applyBorder="1" applyAlignment="1">
      <alignment horizontal="right"/>
    </xf>
    <xf numFmtId="0" fontId="7" fillId="17" borderId="4" xfId="0" applyFont="1" applyFill="1" applyBorder="1"/>
    <xf numFmtId="2" fontId="20" fillId="17" borderId="4" xfId="0" applyNumberFormat="1" applyFont="1" applyFill="1" applyBorder="1" applyAlignment="1">
      <alignment horizontal="right"/>
    </xf>
    <xf numFmtId="166" fontId="20" fillId="17" borderId="4" xfId="0" applyNumberFormat="1" applyFont="1" applyFill="1" applyBorder="1" applyAlignment="1">
      <alignment horizontal="right"/>
    </xf>
    <xf numFmtId="0" fontId="7" fillId="17" borderId="4" xfId="0" applyFont="1" applyFill="1" applyBorder="1" applyAlignment="1">
      <alignment horizontal="right"/>
    </xf>
    <xf numFmtId="2" fontId="7" fillId="17" borderId="4" xfId="0" applyNumberFormat="1" applyFont="1" applyFill="1" applyBorder="1" applyAlignment="1">
      <alignment horizontal="right"/>
    </xf>
    <xf numFmtId="3" fontId="7" fillId="17" borderId="4" xfId="0" applyNumberFormat="1" applyFont="1" applyFill="1" applyBorder="1"/>
    <xf numFmtId="3" fontId="20" fillId="17" borderId="11" xfId="0" applyNumberFormat="1" applyFont="1" applyFill="1" applyBorder="1"/>
    <xf numFmtId="168" fontId="20" fillId="17" borderId="4" xfId="1" applyNumberFormat="1" applyFont="1" applyFill="1" applyBorder="1"/>
    <xf numFmtId="168" fontId="20" fillId="17" borderId="9" xfId="1" applyNumberFormat="1" applyFont="1" applyFill="1" applyBorder="1"/>
    <xf numFmtId="3" fontId="20" fillId="17" borderId="9" xfId="0" applyNumberFormat="1" applyFont="1" applyFill="1" applyBorder="1"/>
    <xf numFmtId="1" fontId="20" fillId="17" borderId="0" xfId="0" applyNumberFormat="1" applyFont="1" applyFill="1"/>
    <xf numFmtId="167" fontId="20" fillId="17" borderId="4" xfId="1" applyNumberFormat="1" applyFont="1" applyFill="1" applyBorder="1"/>
    <xf numFmtId="164" fontId="20" fillId="17" borderId="4" xfId="1" applyFont="1" applyFill="1" applyBorder="1"/>
    <xf numFmtId="168" fontId="3" fillId="17" borderId="4" xfId="1" applyNumberFormat="1" applyFont="1" applyFill="1" applyBorder="1"/>
    <xf numFmtId="167" fontId="7" fillId="17" borderId="4" xfId="0" applyNumberFormat="1" applyFont="1" applyFill="1" applyBorder="1"/>
    <xf numFmtId="167" fontId="3" fillId="17" borderId="4" xfId="1" applyNumberFormat="1" applyFont="1" applyFill="1" applyBorder="1"/>
    <xf numFmtId="0" fontId="35" fillId="2" borderId="4" xfId="0" applyFont="1" applyFill="1" applyBorder="1"/>
    <xf numFmtId="0" fontId="20" fillId="0" borderId="4" xfId="0" applyFont="1" applyBorder="1" applyAlignment="1">
      <alignment horizontal="right"/>
    </xf>
    <xf numFmtId="0" fontId="20" fillId="7" borderId="9" xfId="0" applyFont="1" applyFill="1" applyBorder="1" applyAlignment="1">
      <alignment horizontal="right"/>
    </xf>
    <xf numFmtId="0" fontId="20" fillId="0" borderId="11" xfId="0" applyFont="1" applyBorder="1" applyAlignment="1">
      <alignment horizontal="left"/>
    </xf>
    <xf numFmtId="49" fontId="20" fillId="0" borderId="16" xfId="0" applyNumberFormat="1" applyFont="1" applyBorder="1" applyAlignment="1">
      <alignment horizontal="left"/>
    </xf>
    <xf numFmtId="0" fontId="20" fillId="0" borderId="17" xfId="0" applyFont="1" applyBorder="1"/>
    <xf numFmtId="49" fontId="7" fillId="2" borderId="16" xfId="0" applyNumberFormat="1" applyFont="1" applyFill="1" applyBorder="1"/>
    <xf numFmtId="49" fontId="20" fillId="2" borderId="17" xfId="0" applyNumberFormat="1" applyFont="1" applyFill="1" applyBorder="1" applyAlignment="1">
      <alignment horizontal="center"/>
    </xf>
    <xf numFmtId="166" fontId="20" fillId="0" borderId="17" xfId="0" applyNumberFormat="1" applyFont="1" applyBorder="1" applyAlignment="1">
      <alignment horizontal="right" indent="1"/>
    </xf>
    <xf numFmtId="1" fontId="20" fillId="0" borderId="17" xfId="0" applyNumberFormat="1" applyFont="1" applyBorder="1" applyAlignment="1">
      <alignment horizontal="center"/>
    </xf>
    <xf numFmtId="165" fontId="7" fillId="7" borderId="17" xfId="1" applyNumberFormat="1" applyFont="1" applyFill="1" applyBorder="1" applyAlignment="1">
      <alignment horizontal="right"/>
    </xf>
    <xf numFmtId="168" fontId="7" fillId="7" borderId="17" xfId="1" applyNumberFormat="1" applyFont="1" applyFill="1" applyBorder="1" applyAlignment="1">
      <alignment horizontal="right"/>
    </xf>
    <xf numFmtId="3" fontId="20" fillId="7" borderId="17" xfId="0" applyNumberFormat="1" applyFont="1" applyFill="1" applyBorder="1"/>
    <xf numFmtId="9" fontId="20" fillId="7" borderId="17" xfId="0" applyNumberFormat="1" applyFont="1" applyFill="1" applyBorder="1"/>
    <xf numFmtId="1" fontId="32" fillId="14" borderId="17" xfId="0" applyNumberFormat="1" applyFont="1" applyFill="1" applyBorder="1" applyAlignment="1">
      <alignment horizontal="center"/>
    </xf>
    <xf numFmtId="1" fontId="32" fillId="15" borderId="17" xfId="0" applyNumberFormat="1" applyFont="1" applyFill="1" applyBorder="1" applyAlignment="1">
      <alignment horizontal="center"/>
    </xf>
    <xf numFmtId="1" fontId="32" fillId="0" borderId="17" xfId="0" applyNumberFormat="1" applyFont="1" applyBorder="1" applyAlignment="1">
      <alignment horizontal="center"/>
    </xf>
    <xf numFmtId="3" fontId="20" fillId="12" borderId="17" xfId="0" applyNumberFormat="1" applyFont="1" applyFill="1" applyBorder="1" applyAlignment="1">
      <alignment horizontal="center"/>
    </xf>
    <xf numFmtId="0" fontId="32" fillId="0" borderId="17" xfId="0" applyFont="1" applyBorder="1" applyAlignment="1">
      <alignment horizontal="center"/>
    </xf>
    <xf numFmtId="3" fontId="20" fillId="2" borderId="17" xfId="0" applyNumberFormat="1" applyFont="1" applyFill="1" applyBorder="1" applyAlignment="1">
      <alignment horizontal="center"/>
    </xf>
    <xf numFmtId="0" fontId="20" fillId="7" borderId="17" xfId="0" applyFont="1" applyFill="1" applyBorder="1" applyAlignment="1">
      <alignment horizontal="right"/>
    </xf>
    <xf numFmtId="49" fontId="20" fillId="7" borderId="17" xfId="0" applyNumberFormat="1" applyFont="1" applyFill="1" applyBorder="1" applyAlignment="1">
      <alignment horizontal="right"/>
    </xf>
    <xf numFmtId="3" fontId="7" fillId="7" borderId="17" xfId="0" applyNumberFormat="1" applyFont="1" applyFill="1" applyBorder="1" applyAlignment="1">
      <alignment horizontal="right"/>
    </xf>
    <xf numFmtId="0" fontId="7" fillId="2" borderId="17" xfId="0" applyFont="1" applyFill="1" applyBorder="1"/>
    <xf numFmtId="2" fontId="20" fillId="7" borderId="17" xfId="0" applyNumberFormat="1" applyFont="1" applyFill="1" applyBorder="1" applyAlignment="1">
      <alignment horizontal="right"/>
    </xf>
    <xf numFmtId="0" fontId="20" fillId="2" borderId="17" xfId="0" applyFont="1" applyFill="1" applyBorder="1" applyAlignment="1">
      <alignment horizontal="right"/>
    </xf>
    <xf numFmtId="166" fontId="20" fillId="2" borderId="17" xfId="0" applyNumberFormat="1" applyFont="1" applyFill="1" applyBorder="1" applyAlignment="1">
      <alignment horizontal="right"/>
    </xf>
    <xf numFmtId="0" fontId="7" fillId="2" borderId="17" xfId="0" applyFont="1" applyFill="1" applyBorder="1" applyAlignment="1">
      <alignment horizontal="right"/>
    </xf>
    <xf numFmtId="2" fontId="7" fillId="7" borderId="17" xfId="0" applyNumberFormat="1" applyFont="1" applyFill="1" applyBorder="1" applyAlignment="1">
      <alignment horizontal="right"/>
    </xf>
    <xf numFmtId="3" fontId="7" fillId="7" borderId="17" xfId="0" applyNumberFormat="1" applyFont="1" applyFill="1" applyBorder="1"/>
    <xf numFmtId="167" fontId="20" fillId="7" borderId="17" xfId="1" applyNumberFormat="1" applyFont="1" applyFill="1" applyBorder="1"/>
    <xf numFmtId="164" fontId="20" fillId="7" borderId="17" xfId="1" applyFont="1" applyFill="1" applyBorder="1"/>
    <xf numFmtId="168" fontId="20" fillId="0" borderId="17" xfId="1" applyNumberFormat="1" applyFont="1" applyBorder="1"/>
    <xf numFmtId="168" fontId="3" fillId="7" borderId="17" xfId="1" applyNumberFormat="1" applyFont="1" applyFill="1" applyBorder="1"/>
    <xf numFmtId="167" fontId="7" fillId="7" borderId="17" xfId="0" applyNumberFormat="1" applyFont="1" applyFill="1" applyBorder="1"/>
    <xf numFmtId="167" fontId="20" fillId="0" borderId="17" xfId="1" applyNumberFormat="1" applyFont="1" applyBorder="1"/>
    <xf numFmtId="167" fontId="3" fillId="7" borderId="17" xfId="1" applyNumberFormat="1" applyFont="1" applyFill="1" applyBorder="1"/>
    <xf numFmtId="2" fontId="8" fillId="5" borderId="4" xfId="0" applyNumberFormat="1" applyFont="1" applyFill="1" applyBorder="1" applyAlignment="1">
      <alignment horizontal="center" textRotation="90"/>
    </xf>
    <xf numFmtId="0" fontId="8" fillId="3" borderId="4" xfId="0" applyFont="1" applyFill="1" applyBorder="1" applyAlignment="1">
      <alignment horizontal="left"/>
    </xf>
    <xf numFmtId="0" fontId="8" fillId="8" borderId="5" xfId="0" applyFont="1" applyFill="1" applyBorder="1" applyAlignment="1">
      <alignment horizontal="center" textRotation="90"/>
    </xf>
    <xf numFmtId="0" fontId="8" fillId="8" borderId="6" xfId="0" applyFont="1" applyFill="1" applyBorder="1" applyAlignment="1">
      <alignment horizontal="center" textRotation="90"/>
    </xf>
    <xf numFmtId="0" fontId="8" fillId="8" borderId="9" xfId="0" applyFont="1" applyFill="1" applyBorder="1" applyAlignment="1">
      <alignment horizontal="center" textRotation="90"/>
    </xf>
    <xf numFmtId="0" fontId="8" fillId="5" borderId="4" xfId="0" applyFont="1" applyFill="1" applyBorder="1" applyAlignment="1">
      <alignment horizontal="center" textRotation="90"/>
    </xf>
    <xf numFmtId="0" fontId="8" fillId="8" borderId="4" xfId="0" applyFont="1" applyFill="1" applyBorder="1" applyAlignment="1">
      <alignment horizontal="center" textRotation="90"/>
    </xf>
    <xf numFmtId="0" fontId="6" fillId="8" borderId="4" xfId="0" applyFont="1" applyFill="1" applyBorder="1" applyAlignment="1">
      <alignment horizontal="center" textRotation="90"/>
    </xf>
    <xf numFmtId="0" fontId="10" fillId="8" borderId="4" xfId="0" applyFont="1" applyFill="1" applyBorder="1" applyAlignment="1">
      <alignment horizontal="center" textRotation="90"/>
    </xf>
    <xf numFmtId="2" fontId="8" fillId="5" borderId="5" xfId="0" applyNumberFormat="1" applyFont="1" applyFill="1" applyBorder="1" applyAlignment="1">
      <alignment horizontal="center" textRotation="90"/>
    </xf>
    <xf numFmtId="2" fontId="8" fillId="5" borderId="6" xfId="0" applyNumberFormat="1" applyFont="1" applyFill="1" applyBorder="1" applyAlignment="1">
      <alignment horizontal="center" textRotation="90"/>
    </xf>
    <xf numFmtId="2" fontId="8" fillId="5" borderId="9" xfId="0" applyNumberFormat="1" applyFont="1" applyFill="1" applyBorder="1" applyAlignment="1">
      <alignment horizontal="center" textRotation="90"/>
    </xf>
    <xf numFmtId="49" fontId="19" fillId="2" borderId="1" xfId="0" applyNumberFormat="1" applyFont="1" applyFill="1" applyBorder="1" applyAlignment="1">
      <alignment horizontal="center"/>
    </xf>
    <xf numFmtId="49" fontId="19" fillId="2" borderId="3" xfId="0" applyNumberFormat="1" applyFont="1" applyFill="1" applyBorder="1" applyAlignment="1">
      <alignment horizontal="center"/>
    </xf>
    <xf numFmtId="165" fontId="22" fillId="4" borderId="1" xfId="0" applyNumberFormat="1" applyFont="1" applyFill="1" applyBorder="1" applyAlignment="1">
      <alignment horizontal="center"/>
    </xf>
    <xf numFmtId="165" fontId="22" fillId="4" borderId="3" xfId="0" applyNumberFormat="1" applyFont="1" applyFill="1" applyBorder="1" applyAlignment="1">
      <alignment horizontal="center"/>
    </xf>
    <xf numFmtId="3" fontId="22" fillId="4" borderId="1" xfId="0" applyNumberFormat="1" applyFont="1" applyFill="1" applyBorder="1" applyAlignment="1">
      <alignment horizontal="center"/>
    </xf>
    <xf numFmtId="3" fontId="22" fillId="4" borderId="2" xfId="0" applyNumberFormat="1" applyFont="1" applyFill="1" applyBorder="1" applyAlignment="1">
      <alignment horizontal="center"/>
    </xf>
    <xf numFmtId="3" fontId="22" fillId="4" borderId="3" xfId="0" applyNumberFormat="1" applyFont="1" applyFill="1" applyBorder="1" applyAlignment="1">
      <alignment horizontal="center"/>
    </xf>
    <xf numFmtId="0" fontId="8" fillId="8" borderId="4" xfId="0" applyFont="1" applyFill="1" applyBorder="1" applyAlignment="1">
      <alignment horizontal="center" textRotation="90" wrapText="1"/>
    </xf>
    <xf numFmtId="0" fontId="10" fillId="8" borderId="6" xfId="0" applyFont="1" applyFill="1" applyBorder="1" applyAlignment="1">
      <alignment horizontal="center" textRotation="90"/>
    </xf>
    <xf numFmtId="0" fontId="10" fillId="8" borderId="9" xfId="0" applyFont="1" applyFill="1" applyBorder="1" applyAlignment="1">
      <alignment horizontal="center" textRotation="90"/>
    </xf>
    <xf numFmtId="0" fontId="8" fillId="9" borderId="4" xfId="0" applyFont="1" applyFill="1" applyBorder="1" applyAlignment="1">
      <alignment horizontal="center" textRotation="90" wrapText="1"/>
    </xf>
    <xf numFmtId="0" fontId="8" fillId="9" borderId="4" xfId="0" applyFont="1" applyFill="1" applyBorder="1" applyAlignment="1">
      <alignment horizontal="center" textRotation="90"/>
    </xf>
    <xf numFmtId="0" fontId="20" fillId="4" borderId="4" xfId="0" applyFont="1" applyFill="1" applyBorder="1" applyAlignment="1">
      <alignment horizontal="center"/>
    </xf>
    <xf numFmtId="49" fontId="9" fillId="2" borderId="1" xfId="0" applyNumberFormat="1" applyFont="1" applyFill="1" applyBorder="1" applyAlignment="1">
      <alignment horizontal="left"/>
    </xf>
    <xf numFmtId="49" fontId="9" fillId="2" borderId="2" xfId="0" applyNumberFormat="1" applyFont="1" applyFill="1" applyBorder="1" applyAlignment="1">
      <alignment horizontal="left"/>
    </xf>
    <xf numFmtId="49" fontId="9" fillId="2" borderId="3" xfId="0" applyNumberFormat="1" applyFont="1" applyFill="1" applyBorder="1" applyAlignment="1">
      <alignment horizontal="left"/>
    </xf>
    <xf numFmtId="49" fontId="4" fillId="2" borderId="1" xfId="0" applyNumberFormat="1" applyFont="1" applyFill="1" applyBorder="1" applyAlignment="1">
      <alignment horizontal="left"/>
    </xf>
    <xf numFmtId="49" fontId="4" fillId="2" borderId="2" xfId="0" applyNumberFormat="1" applyFont="1" applyFill="1" applyBorder="1" applyAlignment="1">
      <alignment horizontal="left"/>
    </xf>
    <xf numFmtId="49" fontId="4" fillId="2" borderId="3" xfId="0" applyNumberFormat="1" applyFont="1" applyFill="1" applyBorder="1" applyAlignment="1">
      <alignment horizontal="left"/>
    </xf>
    <xf numFmtId="164" fontId="8" fillId="8" borderId="5" xfId="1" applyFont="1" applyFill="1" applyBorder="1" applyAlignment="1">
      <alignment horizontal="center" textRotation="90"/>
    </xf>
    <xf numFmtId="164" fontId="8" fillId="8" borderId="6" xfId="1" applyFont="1" applyFill="1" applyBorder="1" applyAlignment="1">
      <alignment horizontal="center" textRotation="90"/>
    </xf>
    <xf numFmtId="164" fontId="8" fillId="8" borderId="9" xfId="1" applyFont="1" applyFill="1" applyBorder="1" applyAlignment="1">
      <alignment horizontal="center" textRotation="90"/>
    </xf>
    <xf numFmtId="165" fontId="8" fillId="9" borderId="4" xfId="0" applyNumberFormat="1" applyFont="1" applyFill="1" applyBorder="1" applyAlignment="1">
      <alignment horizontal="center" textRotation="90" wrapText="1"/>
    </xf>
    <xf numFmtId="3" fontId="22" fillId="2" borderId="0" xfId="0" applyNumberFormat="1" applyFont="1" applyFill="1" applyAlignment="1">
      <alignment horizontal="center"/>
    </xf>
    <xf numFmtId="49" fontId="4" fillId="2" borderId="1" xfId="0" applyNumberFormat="1" applyFont="1" applyFill="1" applyBorder="1" applyAlignment="1">
      <alignment horizontal="center"/>
    </xf>
    <xf numFmtId="49" fontId="4" fillId="2" borderId="3" xfId="0" applyNumberFormat="1" applyFont="1" applyFill="1" applyBorder="1" applyAlignment="1">
      <alignment horizontal="center"/>
    </xf>
    <xf numFmtId="2" fontId="8" fillId="5" borderId="3" xfId="0" applyNumberFormat="1" applyFont="1" applyFill="1" applyBorder="1" applyAlignment="1">
      <alignment horizontal="center" textRotation="90"/>
    </xf>
    <xf numFmtId="49" fontId="4" fillId="7" borderId="4" xfId="0" applyNumberFormat="1" applyFont="1" applyFill="1" applyBorder="1" applyAlignment="1">
      <alignment horizontal="left"/>
    </xf>
    <xf numFmtId="3" fontId="20" fillId="10" borderId="2" xfId="0" applyNumberFormat="1" applyFont="1" applyFill="1" applyBorder="1" applyAlignment="1">
      <alignment horizontal="center"/>
    </xf>
    <xf numFmtId="3" fontId="20" fillId="10" borderId="3" xfId="0" applyNumberFormat="1" applyFont="1" applyFill="1" applyBorder="1" applyAlignment="1">
      <alignment horizontal="center"/>
    </xf>
    <xf numFmtId="3" fontId="20" fillId="10" borderId="1" xfId="0" applyNumberFormat="1" applyFont="1" applyFill="1" applyBorder="1" applyAlignment="1">
      <alignment horizontal="center"/>
    </xf>
    <xf numFmtId="49" fontId="9" fillId="7" borderId="4" xfId="0" applyNumberFormat="1" applyFont="1" applyFill="1" applyBorder="1" applyAlignment="1">
      <alignment horizontal="left"/>
    </xf>
  </cellXfs>
  <cellStyles count="3">
    <cellStyle name="Komma" xfId="1" builtinId="3"/>
    <cellStyle name="Normal" xfId="0" builtinId="0"/>
    <cellStyle name="Prosent" xfId="2" builtinId="5"/>
  </cellStyles>
  <dxfs count="1">
    <dxf>
      <font>
        <color rgb="FFFF000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persons/person.xml><?xml version="1.0" encoding="utf-8"?>
<personList xmlns="http://schemas.microsoft.com/office/spreadsheetml/2018/threadedcomments" xmlns:x="http://schemas.openxmlformats.org/spreadsheetml/2006/main">
  <person displayName="Trine Elisabeth Vangen" id="{8A18E176-6F72-4EBC-B63B-C16C274548DD}" userId="S::trine.vangen@structor.no::22ffc69d-a2bf-422e-9e80-241e0758580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51" dT="2024-05-30T09:24:36.63" personId="{8A18E176-6F72-4EBC-B63B-C16C274548DD}" id="{F7D538BA-68F6-4E02-89A2-CE049764174F}">
    <text>Eks tribune plan 2</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Right="0"/>
    <pageSetUpPr fitToPage="1"/>
  </sheetPr>
  <dimension ref="A1:BT573"/>
  <sheetViews>
    <sheetView tabSelected="1" topLeftCell="A52" zoomScale="115" zoomScaleNormal="115" workbookViewId="0">
      <selection activeCell="BD56" sqref="BD56"/>
    </sheetView>
  </sheetViews>
  <sheetFormatPr baseColWidth="10" defaultColWidth="11.42578125" defaultRowHeight="12.75" outlineLevelCol="2" x14ac:dyDescent="0.2"/>
  <cols>
    <col min="1" max="1" width="3" style="56" customWidth="1"/>
    <col min="2" max="2" width="12" style="56" customWidth="1"/>
    <col min="3" max="3" width="23.42578125" style="71" bestFit="1" customWidth="1"/>
    <col min="4" max="4" width="11.7109375" style="71" customWidth="1"/>
    <col min="5" max="5" width="5.7109375" style="71" customWidth="1"/>
    <col min="6" max="6" width="8.7109375" style="71" bestFit="1" customWidth="1"/>
    <col min="7" max="7" width="6.28515625" style="71" customWidth="1"/>
    <col min="8" max="8" width="2.7109375" style="56" customWidth="1" collapsed="1"/>
    <col min="9" max="9" width="8.28515625" style="71" hidden="1" customWidth="1" outlineLevel="1"/>
    <col min="10" max="10" width="9.42578125" style="71" hidden="1" customWidth="1" outlineLevel="1"/>
    <col min="11" max="13" width="8.28515625" style="71" hidden="1" customWidth="1" outlineLevel="1"/>
    <col min="14" max="14" width="9.28515625" style="71" hidden="1" customWidth="1" outlineLevel="1"/>
    <col min="15" max="17" width="8.28515625" style="71" hidden="1" customWidth="1" outlineLevel="1"/>
    <col min="18" max="18" width="8.5703125" style="71" hidden="1" customWidth="1" outlineLevel="1"/>
    <col min="19" max="19" width="10.5703125" style="71" hidden="1" customWidth="1" outlineLevel="1"/>
    <col min="20" max="20" width="6.7109375" style="71" hidden="1" customWidth="1" outlineLevel="1"/>
    <col min="21" max="21" width="9.28515625" style="71" hidden="1" customWidth="1" outlineLevel="1"/>
    <col min="22" max="22" width="6.7109375" style="71" hidden="1" customWidth="1" outlineLevel="1"/>
    <col min="23" max="23" width="8.5703125" style="71" hidden="1" customWidth="1" outlineLevel="1"/>
    <col min="24" max="24" width="11" style="71" hidden="1" customWidth="1" outlineLevel="1"/>
    <col min="25" max="25" width="2.7109375" style="56" customWidth="1"/>
    <col min="26" max="29" width="4.7109375" style="71" customWidth="1" outlineLevel="1"/>
    <col min="30" max="30" width="6.7109375" style="71" customWidth="1" outlineLevel="1"/>
    <col min="31" max="36" width="4.7109375" style="92" customWidth="1" outlineLevel="1"/>
    <col min="37" max="37" width="9.42578125" style="92" customWidth="1" outlineLevel="1"/>
    <col min="38" max="38" width="4.7109375" style="92" customWidth="1" outlineLevel="1"/>
    <col min="39" max="39" width="7.140625" style="92" customWidth="1" outlineLevel="1"/>
    <col min="40" max="42" width="4.7109375" style="92" customWidth="1" outlineLevel="1"/>
    <col min="43" max="43" width="4.7109375" style="92" customWidth="1" outlineLevel="1" collapsed="1"/>
    <col min="44" max="52" width="6.7109375" style="92" hidden="1" customWidth="1" outlineLevel="2"/>
    <col min="53" max="53" width="11.85546875" style="92" customWidth="1" outlineLevel="1"/>
    <col min="54" max="54" width="6.7109375" style="92" customWidth="1" outlineLevel="1"/>
    <col min="55" max="56" width="7.7109375" style="92" customWidth="1" outlineLevel="1"/>
    <col min="57" max="57" width="7" style="92" customWidth="1" outlineLevel="1"/>
    <col min="58" max="58" width="2.7109375" style="67" customWidth="1" collapsed="1"/>
    <col min="59" max="59" width="7.42578125" style="67" hidden="1" customWidth="1" outlineLevel="1"/>
    <col min="60" max="61" width="6.7109375" style="67" hidden="1" customWidth="1" outlineLevel="1"/>
    <col min="62" max="62" width="6.7109375" style="106" hidden="1" customWidth="1" outlineLevel="1"/>
    <col min="63" max="63" width="9.42578125" style="92" hidden="1" customWidth="1" outlineLevel="1"/>
    <col min="64" max="65" width="7.7109375" style="92" hidden="1" customWidth="1" outlineLevel="1"/>
    <col min="66" max="66" width="6.28515625" style="92" hidden="1" customWidth="1" outlineLevel="1"/>
    <col min="67" max="67" width="5.7109375" style="92" hidden="1" customWidth="1" outlineLevel="1"/>
    <col min="68" max="68" width="8.7109375" style="92" hidden="1" customWidth="1" outlineLevel="1"/>
    <col min="69" max="72" width="7.7109375" style="92" hidden="1" customWidth="1" outlineLevel="1"/>
    <col min="73" max="73" width="2.28515625" style="71" customWidth="1"/>
    <col min="74" max="145" width="7.7109375" style="71" customWidth="1"/>
    <col min="146" max="16384" width="11.42578125" style="71"/>
  </cols>
  <sheetData>
    <row r="1" spans="1:72" s="80" customFormat="1" ht="21" x14ac:dyDescent="0.35">
      <c r="A1" s="79"/>
      <c r="B1" s="1" t="s">
        <v>158</v>
      </c>
      <c r="D1" s="1"/>
      <c r="E1" s="1"/>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8"/>
      <c r="BK1" s="97"/>
      <c r="BL1" s="97"/>
      <c r="BM1" s="97"/>
      <c r="BN1" s="97"/>
      <c r="BO1" s="97"/>
      <c r="BP1" s="97"/>
      <c r="BQ1" s="97"/>
      <c r="BR1" s="97"/>
      <c r="BS1" s="97"/>
      <c r="BT1" s="97"/>
    </row>
    <row r="2" spans="1:72" s="3" customFormat="1" x14ac:dyDescent="0.2">
      <c r="B2" s="4" t="s">
        <v>0</v>
      </c>
      <c r="C2" s="4"/>
      <c r="D2" s="4"/>
      <c r="E2" s="5"/>
      <c r="F2" s="4"/>
      <c r="G2" s="4"/>
      <c r="I2" s="6" t="s">
        <v>1</v>
      </c>
      <c r="J2" s="7"/>
      <c r="K2" s="7"/>
      <c r="L2" s="7"/>
      <c r="M2" s="7"/>
      <c r="N2" s="7"/>
      <c r="O2" s="7"/>
      <c r="P2" s="7"/>
      <c r="Q2" s="7"/>
      <c r="R2" s="7"/>
      <c r="S2" s="7"/>
      <c r="T2" s="7"/>
      <c r="U2" s="7"/>
      <c r="V2" s="7"/>
      <c r="W2" s="7"/>
      <c r="X2" s="7"/>
      <c r="Y2" s="8"/>
      <c r="Z2" s="9" t="s">
        <v>2</v>
      </c>
      <c r="AA2" s="10"/>
      <c r="AB2" s="10"/>
      <c r="AC2" s="10"/>
      <c r="AD2" s="10"/>
      <c r="AE2" s="11"/>
      <c r="AF2" s="10"/>
      <c r="AG2" s="11"/>
      <c r="AH2" s="10"/>
      <c r="AI2" s="11"/>
      <c r="AJ2" s="10"/>
      <c r="AK2" s="11"/>
      <c r="AL2" s="10"/>
      <c r="AM2" s="11"/>
      <c r="AN2" s="10"/>
      <c r="AO2" s="10"/>
      <c r="AP2" s="10"/>
      <c r="AQ2" s="10"/>
      <c r="AR2" s="10"/>
      <c r="AS2" s="10"/>
      <c r="AT2" s="10"/>
      <c r="AU2" s="10"/>
      <c r="AV2" s="10"/>
      <c r="AW2" s="10"/>
      <c r="AX2" s="11"/>
      <c r="AY2" s="10"/>
      <c r="AZ2" s="11"/>
      <c r="BA2" s="10"/>
      <c r="BB2" s="10"/>
      <c r="BC2" s="10"/>
      <c r="BD2" s="11"/>
      <c r="BE2" s="11"/>
      <c r="BG2" s="12" t="s">
        <v>80</v>
      </c>
      <c r="BH2" s="12"/>
      <c r="BI2" s="12"/>
      <c r="BJ2" s="43"/>
      <c r="BK2" s="12"/>
      <c r="BL2" s="12"/>
      <c r="BM2" s="12"/>
      <c r="BN2" s="12"/>
      <c r="BO2" s="12"/>
      <c r="BP2" s="12"/>
      <c r="BQ2" s="12"/>
      <c r="BR2" s="12"/>
      <c r="BS2" s="12"/>
      <c r="BT2" s="12"/>
    </row>
    <row r="3" spans="1:72" s="46" customFormat="1" ht="15" x14ac:dyDescent="0.25">
      <c r="B3" s="17" t="s">
        <v>7</v>
      </c>
      <c r="D3" s="340" t="s">
        <v>150</v>
      </c>
      <c r="E3" s="341"/>
      <c r="F3" s="341"/>
      <c r="G3" s="342"/>
      <c r="I3" s="57"/>
      <c r="J3" s="57"/>
      <c r="K3" s="350"/>
      <c r="L3" s="350"/>
      <c r="M3" s="350"/>
      <c r="N3" s="58"/>
      <c r="O3" s="350"/>
      <c r="P3" s="350"/>
      <c r="Q3" s="350"/>
      <c r="R3" s="58"/>
      <c r="S3" s="58"/>
      <c r="T3" s="350"/>
      <c r="U3" s="350"/>
      <c r="V3" s="350"/>
      <c r="W3" s="58"/>
      <c r="X3" s="58"/>
      <c r="Y3" s="58"/>
      <c r="Z3" s="142" t="s">
        <v>88</v>
      </c>
      <c r="AA3" s="108">
        <v>-22</v>
      </c>
      <c r="AB3" s="107" t="s">
        <v>45</v>
      </c>
      <c r="AE3" s="3"/>
      <c r="AF3" s="55"/>
      <c r="AG3" s="59"/>
      <c r="AH3" s="59"/>
      <c r="AI3" s="59"/>
      <c r="AJ3" s="59"/>
      <c r="AK3" s="59" t="s">
        <v>4</v>
      </c>
      <c r="AL3" s="59"/>
      <c r="AM3" s="59"/>
      <c r="AN3" s="59"/>
      <c r="AO3" s="59"/>
      <c r="AP3" s="59"/>
      <c r="AQ3" s="60"/>
      <c r="AR3" s="25"/>
      <c r="AS3" s="25"/>
      <c r="AT3" s="25"/>
      <c r="AU3" s="25"/>
      <c r="AV3" s="25"/>
      <c r="AW3" s="25"/>
      <c r="AY3" s="25"/>
      <c r="BA3" s="25"/>
      <c r="BB3" s="25" t="s">
        <v>5</v>
      </c>
      <c r="BC3" s="61">
        <f>(SUMIF(BA11:BA83,"&gt;0"))/1000</f>
        <v>28.143151274078402</v>
      </c>
      <c r="BD3" s="46" t="s">
        <v>6</v>
      </c>
      <c r="BJ3" s="62"/>
      <c r="BM3" s="3"/>
      <c r="BN3" s="3"/>
      <c r="BO3" s="3"/>
      <c r="BP3" s="25"/>
    </row>
    <row r="4" spans="1:72" s="46" customFormat="1" ht="14.25" x14ac:dyDescent="0.2">
      <c r="B4" s="17" t="s">
        <v>9</v>
      </c>
      <c r="D4" s="343" t="s">
        <v>151</v>
      </c>
      <c r="E4" s="344"/>
      <c r="F4" s="344"/>
      <c r="G4" s="345"/>
      <c r="H4" s="63"/>
      <c r="I4" s="64"/>
      <c r="J4" s="64"/>
      <c r="K4" s="65"/>
      <c r="L4" s="65"/>
      <c r="M4" s="65"/>
      <c r="N4" s="65"/>
      <c r="O4" s="65"/>
      <c r="P4" s="65"/>
      <c r="Q4" s="65"/>
      <c r="R4" s="58"/>
      <c r="S4" s="58"/>
      <c r="T4" s="58"/>
      <c r="U4" s="58"/>
      <c r="V4" s="58"/>
      <c r="W4" s="58"/>
      <c r="X4" s="58"/>
      <c r="Y4" s="58"/>
      <c r="AC4" s="51"/>
      <c r="AD4" s="56"/>
      <c r="AE4" s="67"/>
      <c r="AF4" s="145">
        <v>0.19</v>
      </c>
      <c r="AG4" s="100"/>
      <c r="AH4" s="99">
        <v>0.8</v>
      </c>
      <c r="AI4" s="100"/>
      <c r="AJ4" s="99">
        <v>1.2</v>
      </c>
      <c r="AK4" s="100"/>
      <c r="AL4" s="99">
        <v>0.1</v>
      </c>
      <c r="AM4" s="100"/>
      <c r="AN4" s="99">
        <v>0.18</v>
      </c>
      <c r="AO4" s="100"/>
      <c r="AP4" s="99">
        <v>0.15</v>
      </c>
      <c r="AQ4" s="100"/>
      <c r="BB4" s="25" t="s">
        <v>8</v>
      </c>
      <c r="BC4" s="61">
        <f>(SUMIF(BD11:BD83,"&gt;0"))/1000</f>
        <v>42.521999999999998</v>
      </c>
      <c r="BD4" s="46" t="s">
        <v>6</v>
      </c>
      <c r="BJ4" s="62"/>
    </row>
    <row r="5" spans="1:72" s="3" customFormat="1" ht="15" customHeight="1" x14ac:dyDescent="0.2">
      <c r="B5" s="13" t="s">
        <v>32</v>
      </c>
      <c r="D5" s="20">
        <v>45237</v>
      </c>
      <c r="E5" s="15" t="s">
        <v>33</v>
      </c>
      <c r="F5" s="351" t="s">
        <v>254</v>
      </c>
      <c r="G5" s="352"/>
      <c r="H5" s="63"/>
      <c r="I5" s="64"/>
      <c r="J5" s="64"/>
      <c r="K5" s="65"/>
      <c r="L5" s="65"/>
      <c r="M5" s="65"/>
      <c r="N5" s="65"/>
      <c r="O5" s="65"/>
      <c r="P5" s="65"/>
      <c r="Q5" s="65"/>
      <c r="R5" s="58"/>
      <c r="S5" s="65"/>
      <c r="T5" s="65"/>
      <c r="U5" s="65"/>
      <c r="V5" s="65"/>
      <c r="W5" s="65"/>
      <c r="X5" s="65"/>
      <c r="Y5" s="65"/>
      <c r="Z5" s="55" t="s">
        <v>3</v>
      </c>
      <c r="AA5" s="55"/>
      <c r="AB5" s="14"/>
      <c r="AC5" s="14"/>
      <c r="AD5" s="320" t="s">
        <v>91</v>
      </c>
      <c r="AE5" s="349" t="s">
        <v>96</v>
      </c>
      <c r="AF5" s="337" t="s">
        <v>12</v>
      </c>
      <c r="AG5" s="320" t="s">
        <v>13</v>
      </c>
      <c r="AH5" s="320" t="s">
        <v>14</v>
      </c>
      <c r="AI5" s="338" t="s">
        <v>15</v>
      </c>
      <c r="AJ5" s="338" t="s">
        <v>16</v>
      </c>
      <c r="AK5" s="320" t="s">
        <v>17</v>
      </c>
      <c r="AL5" s="320" t="s">
        <v>18</v>
      </c>
      <c r="AM5" s="338" t="s">
        <v>19</v>
      </c>
      <c r="AN5" s="338" t="s">
        <v>20</v>
      </c>
      <c r="AO5" s="320" t="s">
        <v>21</v>
      </c>
      <c r="AP5" s="320" t="s">
        <v>22</v>
      </c>
      <c r="AQ5" s="320" t="s">
        <v>23</v>
      </c>
      <c r="AR5" s="315" t="s">
        <v>24</v>
      </c>
      <c r="AS5" s="315" t="s">
        <v>25</v>
      </c>
      <c r="AT5" s="315" t="s">
        <v>26</v>
      </c>
      <c r="AU5" s="315" t="s">
        <v>27</v>
      </c>
      <c r="AV5" s="315" t="s">
        <v>28</v>
      </c>
      <c r="AW5" s="315" t="s">
        <v>29</v>
      </c>
      <c r="AX5" s="18"/>
      <c r="AY5" s="18"/>
      <c r="BB5" s="25" t="s">
        <v>30</v>
      </c>
      <c r="BC5" s="66">
        <f>IF(BC4=0,0,100*(BC4-BC3)/BC3)</f>
        <v>51.091821899722412</v>
      </c>
      <c r="BD5" s="46" t="s">
        <v>31</v>
      </c>
      <c r="BG5" s="19"/>
      <c r="BH5" s="50" t="s">
        <v>3</v>
      </c>
      <c r="BI5" s="19"/>
      <c r="BJ5" s="118"/>
      <c r="BN5" s="44" t="s">
        <v>3</v>
      </c>
      <c r="BO5" s="16"/>
      <c r="BP5" s="25"/>
      <c r="BQ5" s="8"/>
      <c r="BR5" s="8"/>
      <c r="BS5" s="8"/>
      <c r="BT5" s="8"/>
    </row>
    <row r="6" spans="1:72" ht="14.25" x14ac:dyDescent="0.2">
      <c r="B6" s="47" t="s">
        <v>81</v>
      </c>
      <c r="D6" s="48"/>
      <c r="E6" s="47" t="s">
        <v>82</v>
      </c>
      <c r="F6" s="327"/>
      <c r="G6" s="328"/>
      <c r="H6" s="68"/>
      <c r="I6" s="69" t="s">
        <v>3</v>
      </c>
      <c r="J6" s="70"/>
      <c r="K6" s="65"/>
      <c r="L6" s="65"/>
      <c r="M6" s="65"/>
      <c r="N6" s="65"/>
      <c r="O6" s="65"/>
      <c r="P6" s="65"/>
      <c r="Q6" s="65"/>
      <c r="R6" s="65"/>
      <c r="S6" s="65"/>
      <c r="T6" s="65"/>
      <c r="U6" s="65"/>
      <c r="V6" s="65"/>
      <c r="W6" s="65"/>
      <c r="X6" s="65"/>
      <c r="Y6" s="65"/>
      <c r="Z6" s="52">
        <v>20</v>
      </c>
      <c r="AA6" s="53">
        <v>3.75</v>
      </c>
      <c r="AB6" s="53">
        <v>0.1</v>
      </c>
      <c r="AC6" s="54">
        <v>20</v>
      </c>
      <c r="AD6" s="320"/>
      <c r="AE6" s="349"/>
      <c r="AF6" s="337"/>
      <c r="AG6" s="320"/>
      <c r="AH6" s="320"/>
      <c r="AI6" s="338"/>
      <c r="AJ6" s="338"/>
      <c r="AK6" s="320"/>
      <c r="AL6" s="320"/>
      <c r="AM6" s="338"/>
      <c r="AN6" s="338"/>
      <c r="AO6" s="320"/>
      <c r="AP6" s="320"/>
      <c r="AQ6" s="320"/>
      <c r="AR6" s="315"/>
      <c r="AS6" s="315"/>
      <c r="AT6" s="315"/>
      <c r="AU6" s="315"/>
      <c r="AV6" s="315"/>
      <c r="AW6" s="315"/>
      <c r="AX6" s="324" t="s">
        <v>34</v>
      </c>
      <c r="AY6" s="324" t="s">
        <v>35</v>
      </c>
      <c r="AZ6" s="353" t="s">
        <v>36</v>
      </c>
      <c r="BA6" s="324" t="s">
        <v>37</v>
      </c>
      <c r="BB6" s="67"/>
      <c r="BC6" s="67"/>
      <c r="BD6" s="22"/>
      <c r="BE6" s="22"/>
      <c r="BF6" s="22"/>
      <c r="BG6" s="101">
        <v>80</v>
      </c>
      <c r="BH6" s="101">
        <v>8</v>
      </c>
      <c r="BI6" s="101">
        <v>700</v>
      </c>
      <c r="BJ6" s="102">
        <v>0.85</v>
      </c>
      <c r="BK6" s="103"/>
      <c r="BL6" s="67"/>
      <c r="BM6" s="67"/>
      <c r="BN6" s="104">
        <v>18</v>
      </c>
      <c r="BO6" s="104">
        <v>26</v>
      </c>
      <c r="BP6" s="67"/>
      <c r="BQ6" s="67"/>
      <c r="BR6" s="67"/>
      <c r="BS6" s="67"/>
      <c r="BT6" s="67"/>
    </row>
    <row r="7" spans="1:72" ht="15" customHeight="1" x14ac:dyDescent="0.2">
      <c r="B7" s="47" t="s">
        <v>83</v>
      </c>
      <c r="D7" s="48">
        <v>45316</v>
      </c>
      <c r="E7" s="47" t="s">
        <v>82</v>
      </c>
      <c r="F7" s="327" t="s">
        <v>241</v>
      </c>
      <c r="G7" s="328"/>
      <c r="I7" s="111">
        <v>7.2</v>
      </c>
      <c r="J7" s="146">
        <v>26</v>
      </c>
      <c r="K7" s="65"/>
      <c r="L7" s="65"/>
      <c r="M7" s="65"/>
      <c r="N7" s="65"/>
      <c r="O7" s="65"/>
      <c r="P7" s="65"/>
      <c r="Q7" s="65"/>
      <c r="R7" s="65"/>
      <c r="S7" s="65"/>
      <c r="T7" s="65"/>
      <c r="U7" s="65"/>
      <c r="V7" s="67"/>
      <c r="W7" s="339" t="s">
        <v>104</v>
      </c>
      <c r="X7" s="339"/>
      <c r="Y7" s="67"/>
      <c r="Z7" s="320" t="s">
        <v>87</v>
      </c>
      <c r="AA7" s="320" t="s">
        <v>10</v>
      </c>
      <c r="AB7" s="320" t="s">
        <v>11</v>
      </c>
      <c r="AC7" s="320" t="s">
        <v>84</v>
      </c>
      <c r="AD7" s="320"/>
      <c r="AE7" s="349"/>
      <c r="AF7" s="337"/>
      <c r="AG7" s="320"/>
      <c r="AH7" s="320"/>
      <c r="AI7" s="338"/>
      <c r="AJ7" s="338"/>
      <c r="AK7" s="320"/>
      <c r="AL7" s="320"/>
      <c r="AM7" s="338"/>
      <c r="AN7" s="338"/>
      <c r="AO7" s="320"/>
      <c r="AP7" s="320"/>
      <c r="AQ7" s="320"/>
      <c r="AR7" s="315"/>
      <c r="AS7" s="315"/>
      <c r="AT7" s="315"/>
      <c r="AU7" s="315"/>
      <c r="AV7" s="315"/>
      <c r="AW7" s="315"/>
      <c r="AX7" s="325"/>
      <c r="AY7" s="325"/>
      <c r="AZ7" s="353"/>
      <c r="BA7" s="325"/>
      <c r="BB7" s="105" t="s">
        <v>30</v>
      </c>
      <c r="BC7" s="63"/>
      <c r="BD7" s="22"/>
      <c r="BE7" s="22"/>
      <c r="BF7" s="22"/>
      <c r="BG7" s="323" t="s">
        <v>38</v>
      </c>
      <c r="BH7" s="317" t="s">
        <v>92</v>
      </c>
      <c r="BI7" s="317" t="s">
        <v>93</v>
      </c>
      <c r="BJ7" s="346" t="s">
        <v>86</v>
      </c>
      <c r="BK7" s="323" t="s">
        <v>39</v>
      </c>
      <c r="BL7" s="323" t="s">
        <v>40</v>
      </c>
      <c r="BM7" s="321" t="s">
        <v>41</v>
      </c>
      <c r="BN7" s="321" t="s">
        <v>89</v>
      </c>
      <c r="BO7" s="321" t="s">
        <v>90</v>
      </c>
      <c r="BP7" s="321" t="s">
        <v>42</v>
      </c>
      <c r="BQ7" s="321" t="s">
        <v>79</v>
      </c>
      <c r="BR7" s="317" t="s">
        <v>43</v>
      </c>
      <c r="BS7" s="322" t="s">
        <v>44</v>
      </c>
      <c r="BT7" s="334" t="s">
        <v>97</v>
      </c>
    </row>
    <row r="8" spans="1:72" ht="12.75" customHeight="1" x14ac:dyDescent="0.2">
      <c r="B8" s="23"/>
      <c r="D8" s="24"/>
      <c r="H8" s="26"/>
      <c r="I8" s="329" t="s">
        <v>85</v>
      </c>
      <c r="J8" s="330"/>
      <c r="K8" s="331" t="s">
        <v>46</v>
      </c>
      <c r="L8" s="332"/>
      <c r="M8" s="333"/>
      <c r="N8" s="171"/>
      <c r="O8" s="331" t="s">
        <v>47</v>
      </c>
      <c r="P8" s="332"/>
      <c r="Q8" s="332"/>
      <c r="R8" s="333"/>
      <c r="S8" s="72"/>
      <c r="T8" s="65"/>
      <c r="U8" s="65"/>
      <c r="V8" s="67"/>
      <c r="W8" s="173">
        <v>0.5</v>
      </c>
      <c r="X8" s="173">
        <v>0.15</v>
      </c>
      <c r="Y8" s="67"/>
      <c r="Z8" s="320"/>
      <c r="AA8" s="320"/>
      <c r="AB8" s="320"/>
      <c r="AC8" s="320"/>
      <c r="AD8" s="320"/>
      <c r="AE8" s="349"/>
      <c r="AF8" s="337"/>
      <c r="AG8" s="320"/>
      <c r="AH8" s="320"/>
      <c r="AI8" s="338"/>
      <c r="AJ8" s="338"/>
      <c r="AK8" s="320"/>
      <c r="AL8" s="320"/>
      <c r="AM8" s="338"/>
      <c r="AN8" s="338"/>
      <c r="AO8" s="320"/>
      <c r="AP8" s="320"/>
      <c r="AQ8" s="320"/>
      <c r="AR8" s="315"/>
      <c r="AS8" s="315"/>
      <c r="AT8" s="315"/>
      <c r="AU8" s="315"/>
      <c r="AV8" s="315"/>
      <c r="AW8" s="315"/>
      <c r="AX8" s="325"/>
      <c r="AY8" s="325"/>
      <c r="AZ8" s="353"/>
      <c r="BA8" s="325"/>
      <c r="BB8" s="27">
        <v>20</v>
      </c>
      <c r="BC8" s="26" t="s">
        <v>31</v>
      </c>
      <c r="BD8" s="22"/>
      <c r="BE8" s="22"/>
      <c r="BF8" s="22"/>
      <c r="BG8" s="323"/>
      <c r="BH8" s="335"/>
      <c r="BI8" s="318"/>
      <c r="BJ8" s="347"/>
      <c r="BK8" s="323"/>
      <c r="BL8" s="323"/>
      <c r="BM8" s="322"/>
      <c r="BN8" s="322"/>
      <c r="BO8" s="322"/>
      <c r="BP8" s="322"/>
      <c r="BQ8" s="322"/>
      <c r="BR8" s="318"/>
      <c r="BS8" s="322"/>
      <c r="BT8" s="334"/>
    </row>
    <row r="9" spans="1:72" s="34" customFormat="1" ht="77.25" x14ac:dyDescent="0.2">
      <c r="A9" s="28"/>
      <c r="B9" s="112" t="s">
        <v>95</v>
      </c>
      <c r="C9" s="316" t="s">
        <v>48</v>
      </c>
      <c r="D9" s="316"/>
      <c r="E9" s="113" t="s">
        <v>49</v>
      </c>
      <c r="F9" s="114" t="s">
        <v>50</v>
      </c>
      <c r="G9" s="114" t="s">
        <v>51</v>
      </c>
      <c r="H9" s="29"/>
      <c r="I9" s="30" t="s">
        <v>98</v>
      </c>
      <c r="J9" s="30" t="s">
        <v>99</v>
      </c>
      <c r="K9" s="30" t="s">
        <v>74</v>
      </c>
      <c r="L9" s="30" t="s">
        <v>75</v>
      </c>
      <c r="M9" s="30" t="s">
        <v>52</v>
      </c>
      <c r="N9" s="30" t="s">
        <v>105</v>
      </c>
      <c r="O9" s="30" t="s">
        <v>53</v>
      </c>
      <c r="P9" s="30" t="s">
        <v>54</v>
      </c>
      <c r="Q9" s="30" t="s">
        <v>55</v>
      </c>
      <c r="R9" s="31" t="s">
        <v>76</v>
      </c>
      <c r="S9" s="32" t="s">
        <v>78</v>
      </c>
      <c r="T9" s="32" t="s">
        <v>56</v>
      </c>
      <c r="U9" s="32" t="s">
        <v>106</v>
      </c>
      <c r="V9" s="32" t="s">
        <v>101</v>
      </c>
      <c r="W9" s="32" t="s">
        <v>102</v>
      </c>
      <c r="X9" s="32" t="s">
        <v>103</v>
      </c>
      <c r="Y9" s="73"/>
      <c r="Z9" s="320"/>
      <c r="AA9" s="320"/>
      <c r="AB9" s="320"/>
      <c r="AC9" s="320"/>
      <c r="AD9" s="320"/>
      <c r="AE9" s="349"/>
      <c r="AF9" s="337"/>
      <c r="AG9" s="320"/>
      <c r="AH9" s="320"/>
      <c r="AI9" s="338"/>
      <c r="AJ9" s="338"/>
      <c r="AK9" s="320"/>
      <c r="AL9" s="320"/>
      <c r="AM9" s="338"/>
      <c r="AN9" s="338"/>
      <c r="AO9" s="320"/>
      <c r="AP9" s="320"/>
      <c r="AQ9" s="320"/>
      <c r="AR9" s="315"/>
      <c r="AS9" s="315"/>
      <c r="AT9" s="315"/>
      <c r="AU9" s="315"/>
      <c r="AV9" s="315"/>
      <c r="AW9" s="315"/>
      <c r="AX9" s="326"/>
      <c r="AY9" s="326"/>
      <c r="AZ9" s="353"/>
      <c r="BA9" s="326"/>
      <c r="BB9" s="115" t="s">
        <v>57</v>
      </c>
      <c r="BC9" s="116" t="s">
        <v>58</v>
      </c>
      <c r="BD9" s="117" t="s">
        <v>59</v>
      </c>
      <c r="BE9" s="117" t="s">
        <v>60</v>
      </c>
      <c r="BF9" s="33"/>
      <c r="BG9" s="323"/>
      <c r="BH9" s="336"/>
      <c r="BI9" s="319"/>
      <c r="BJ9" s="348"/>
      <c r="BK9" s="323"/>
      <c r="BL9" s="323"/>
      <c r="BM9" s="322"/>
      <c r="BN9" s="322"/>
      <c r="BO9" s="322"/>
      <c r="BP9" s="322"/>
      <c r="BQ9" s="322"/>
      <c r="BR9" s="319"/>
      <c r="BS9" s="322"/>
      <c r="BT9" s="334"/>
    </row>
    <row r="10" spans="1:72" s="34" customFormat="1" ht="10.5" customHeight="1" x14ac:dyDescent="0.2">
      <c r="A10" s="28"/>
      <c r="B10" s="112"/>
      <c r="C10" s="175"/>
      <c r="D10" s="176"/>
      <c r="E10" s="113"/>
      <c r="F10" s="114"/>
      <c r="G10" s="114"/>
      <c r="H10" s="29"/>
      <c r="I10" s="30"/>
      <c r="J10" s="30"/>
      <c r="K10" s="30"/>
      <c r="L10" s="30"/>
      <c r="M10" s="30"/>
      <c r="N10" s="30"/>
      <c r="O10" s="30"/>
      <c r="P10" s="30"/>
      <c r="Q10" s="30"/>
      <c r="R10" s="31"/>
      <c r="S10" s="32"/>
      <c r="T10" s="32"/>
      <c r="U10" s="32"/>
      <c r="V10" s="32"/>
      <c r="W10" s="32"/>
      <c r="X10" s="32"/>
      <c r="Y10" s="73"/>
      <c r="Z10" s="152"/>
      <c r="AA10" s="152"/>
      <c r="AB10" s="152"/>
      <c r="AC10" s="152"/>
      <c r="AD10" s="152"/>
      <c r="AE10" s="150"/>
      <c r="AF10" s="154"/>
      <c r="AG10" s="152"/>
      <c r="AH10" s="152"/>
      <c r="AI10" s="153"/>
      <c r="AJ10" s="153"/>
      <c r="AK10" s="152"/>
      <c r="AL10" s="152"/>
      <c r="AM10" s="153"/>
      <c r="AN10" s="153"/>
      <c r="AO10" s="152"/>
      <c r="AP10" s="152"/>
      <c r="AQ10" s="152"/>
      <c r="AR10" s="117"/>
      <c r="AS10" s="117"/>
      <c r="AT10" s="117"/>
      <c r="AU10" s="117"/>
      <c r="AV10" s="117"/>
      <c r="AW10" s="117"/>
      <c r="AX10" s="151"/>
      <c r="AY10" s="151"/>
      <c r="AZ10" s="159"/>
      <c r="BA10" s="151"/>
      <c r="BB10" s="159"/>
      <c r="BC10" s="116"/>
      <c r="BD10" s="151"/>
      <c r="BE10" s="117"/>
      <c r="BF10" s="33"/>
      <c r="BG10" s="158"/>
      <c r="BH10" s="157"/>
      <c r="BI10" s="148"/>
      <c r="BJ10" s="149"/>
      <c r="BK10" s="158"/>
      <c r="BL10" s="158"/>
      <c r="BM10" s="155"/>
      <c r="BN10" s="155"/>
      <c r="BO10" s="155"/>
      <c r="BP10" s="155"/>
      <c r="BQ10" s="155"/>
      <c r="BR10" s="148"/>
      <c r="BS10" s="155"/>
      <c r="BT10" s="156"/>
    </row>
    <row r="11" spans="1:72" s="92" customFormat="1" x14ac:dyDescent="0.2">
      <c r="B11" s="183" t="s">
        <v>193</v>
      </c>
      <c r="C11" s="184" t="s">
        <v>130</v>
      </c>
      <c r="D11" s="174"/>
      <c r="E11" s="35" t="s">
        <v>152</v>
      </c>
      <c r="F11" s="185">
        <v>22.7</v>
      </c>
      <c r="G11" s="186"/>
      <c r="H11" s="82"/>
      <c r="I11" s="74">
        <f>$I$7</f>
        <v>7.2</v>
      </c>
      <c r="J11" s="147"/>
      <c r="K11" s="75">
        <f t="shared" ref="K11:K42" si="0">IF(F11="","",SUM(F11*I11))</f>
        <v>163.44</v>
      </c>
      <c r="L11" s="75" t="str">
        <f t="shared" ref="L11:L42" si="1">IF(G11="","",SUM(G11*J11))</f>
        <v/>
      </c>
      <c r="M11" s="75">
        <f t="shared" ref="M11:M42" si="2">SUM(K11:L11)</f>
        <v>163.44</v>
      </c>
      <c r="N11" s="172">
        <f t="shared" ref="N11:N42" si="3">(O11-M11)/O11</f>
        <v>0.54600000000000004</v>
      </c>
      <c r="O11" s="178">
        <v>360</v>
      </c>
      <c r="P11" s="179">
        <v>360</v>
      </c>
      <c r="Q11" s="177">
        <v>200</v>
      </c>
      <c r="R11" s="77">
        <f t="shared" ref="R11:R42" si="4">IF(F11="","",SUM(O11/F11))</f>
        <v>15.859030837004406</v>
      </c>
      <c r="S11" s="94" t="s">
        <v>239</v>
      </c>
      <c r="T11" s="180"/>
      <c r="U11" s="95"/>
      <c r="V11" s="75">
        <f t="shared" ref="V11:V42" si="5">IF(T11="x",O11,0)</f>
        <v>0</v>
      </c>
      <c r="W11" s="75">
        <f t="shared" ref="W11:W42" si="6">V11*$W$8</f>
        <v>0</v>
      </c>
      <c r="X11" s="75">
        <f t="shared" ref="X11:X42" si="7">V11*$X$8</f>
        <v>0</v>
      </c>
      <c r="Y11" s="78"/>
      <c r="Z11" s="83">
        <f t="shared" ref="Z11:Z42" si="8">$Z$6</f>
        <v>20</v>
      </c>
      <c r="AA11" s="84">
        <f t="shared" ref="AA11:AA50" si="9">etasjeh</f>
        <v>3.75</v>
      </c>
      <c r="AB11" s="84">
        <f t="shared" ref="AB11:AB42" si="10">n</f>
        <v>0.1</v>
      </c>
      <c r="AC11" s="84">
        <f>tilltemper</f>
        <v>20</v>
      </c>
      <c r="AD11" s="37">
        <f t="shared" ref="AD11:AD42" si="11">O11</f>
        <v>360</v>
      </c>
      <c r="AE11" s="192">
        <v>5.62</v>
      </c>
      <c r="AF11" s="85">
        <f t="shared" ref="AF11:AF42" si="12">U_1</f>
        <v>0.19</v>
      </c>
      <c r="AG11" s="81">
        <v>10.5</v>
      </c>
      <c r="AH11" s="85">
        <f t="shared" ref="AH11:AH42" si="13">U_2</f>
        <v>0.8</v>
      </c>
      <c r="AI11" s="81"/>
      <c r="AJ11" s="85">
        <f t="shared" ref="AJ11:AJ42" si="14">U_3</f>
        <v>1.2</v>
      </c>
      <c r="AK11" s="81"/>
      <c r="AL11" s="85">
        <f t="shared" ref="AL11:AL42" si="15">U_4</f>
        <v>0.1</v>
      </c>
      <c r="AM11" s="182">
        <f t="shared" ref="AM11:AM16" si="16">F11</f>
        <v>22.7</v>
      </c>
      <c r="AN11" s="85">
        <f t="shared" ref="AN11:AN42" si="17">U_5</f>
        <v>0.18</v>
      </c>
      <c r="AO11" s="38"/>
      <c r="AP11" s="39">
        <f t="shared" ref="AP11:AP42" si="18">U_6</f>
        <v>0.15</v>
      </c>
      <c r="AQ11" s="38"/>
      <c r="AR11" s="40">
        <f t="shared" ref="AR11:AR42" si="19">MAX(0,(AF11*(AE11*AA11-AG11-AI11))*(Z11-DUT))</f>
        <v>84.388499999999993</v>
      </c>
      <c r="AS11" s="40">
        <f t="shared" ref="AS11:AS42" si="20">AH11*AG11*(Z11-DUT)</f>
        <v>352.8</v>
      </c>
      <c r="AT11" s="40">
        <f t="shared" ref="AT11:AT42" si="21">AJ11*AI11*(Z11-DUT)</f>
        <v>0</v>
      </c>
      <c r="AU11" s="40">
        <f t="shared" ref="AU11:AU42" si="22">AL11*AK11*(Z11-DUT)</f>
        <v>0</v>
      </c>
      <c r="AV11" s="40">
        <f t="shared" ref="AV11:AV42" si="23">AN11*AM11*(Z11-DUT)</f>
        <v>171.61199999999997</v>
      </c>
      <c r="AW11" s="40">
        <f t="shared" ref="AW11:AW42" si="24">AP11*AO11*(Z11-AQ11)</f>
        <v>0</v>
      </c>
      <c r="AX11" s="75">
        <f t="shared" ref="AX11:AX42" si="25">SUM(AR11:AW11)</f>
        <v>608.80049999999994</v>
      </c>
      <c r="AY11" s="75">
        <f t="shared" ref="AY11:AY42" si="26">(F11*AA11)*(AB11/3600)*(-0.0045*(Z11+273)+2.5426)*1008*(Z11-DUT)</f>
        <v>122.54097870000001</v>
      </c>
      <c r="AZ11" s="86">
        <f t="shared" ref="AZ11:AZ42" si="27">IF(AC11=DUT,-(ABS(AD11)/3600)*(-0.0045*(Z11+273)+2.5426)*1008*(AC11-Z11),-(ABS(AD11)/3600)*(-0.0045*(((AC11+Z11)/2)+273)+2.5426)*1008*(AC11-Z11))</f>
        <v>0</v>
      </c>
      <c r="BA11" s="143">
        <f t="shared" ref="BA11:BA42" si="28">SUM(AX11:AZ11)</f>
        <v>731.34147869999993</v>
      </c>
      <c r="BB11" s="144">
        <f t="shared" ref="BB11:BB42" si="29">ABS(BA11*(sikkerhetstill/100))</f>
        <v>146.26829573999999</v>
      </c>
      <c r="BC11" s="143">
        <f t="shared" ref="BC11:BC42" si="30">MAX(0,AX11+AY11+AZ11+BB11)</f>
        <v>877.60977443999991</v>
      </c>
      <c r="BD11" s="87">
        <v>780</v>
      </c>
      <c r="BE11" s="143">
        <f t="shared" ref="BE11:BE42" si="31">IF(F11=0,0,IF(F11="","",BD11/F11))</f>
        <v>34.36123348017621</v>
      </c>
      <c r="BF11" s="88"/>
      <c r="BG11" s="89">
        <f t="shared" ref="BG11:BG42" si="32">G11*$BG$6</f>
        <v>0</v>
      </c>
      <c r="BH11" s="89">
        <f t="shared" ref="BH11:BH42" si="33">F11*$BH$6</f>
        <v>181.6</v>
      </c>
      <c r="BI11" s="89">
        <f t="shared" ref="BI11:BI42" si="34">$BI$6</f>
        <v>700</v>
      </c>
      <c r="BJ11" s="90">
        <f t="shared" ref="BJ11:BJ42" si="35">$BJ$6</f>
        <v>0.85</v>
      </c>
      <c r="BK11" s="89">
        <f t="shared" ref="BK11:BK42" si="36">AG11*BI11*(1-BJ11)</f>
        <v>1102.5000000000002</v>
      </c>
      <c r="BL11" s="109"/>
      <c r="BM11" s="110">
        <f t="shared" ref="BM11:BM42" si="37">BG11+BH11+BK11+BL11</f>
        <v>1284.1000000000001</v>
      </c>
      <c r="BN11" s="45">
        <f t="shared" ref="BN11:BN42" si="38">$BN$6</f>
        <v>18</v>
      </c>
      <c r="BO11" s="45">
        <f t="shared" ref="BO11:BO42" si="39">$BO$6</f>
        <v>26</v>
      </c>
      <c r="BP11" s="89">
        <f t="shared" ref="BP11:BP42" si="40">O11*0.35*(BO11-BN11)</f>
        <v>1007.9999999999999</v>
      </c>
      <c r="BQ11" s="91"/>
      <c r="BR11" s="41">
        <f t="shared" ref="BR11:BR42" si="41">SUM(BP11:BQ11)</f>
        <v>1007.9999999999999</v>
      </c>
      <c r="BS11" s="110">
        <f t="shared" ref="BS11:BS42" si="42">BM11-BR11</f>
        <v>276.10000000000025</v>
      </c>
      <c r="BT11" s="110">
        <f t="shared" ref="BT11:BT42" si="43">IF(BS11&gt;0,BS11/(0.35*(BO11-BN11)),"")</f>
        <v>98.607142857142946</v>
      </c>
    </row>
    <row r="12" spans="1:72" s="92" customFormat="1" x14ac:dyDescent="0.2">
      <c r="B12" s="183" t="s">
        <v>192</v>
      </c>
      <c r="C12" s="184" t="s">
        <v>126</v>
      </c>
      <c r="D12" s="174"/>
      <c r="E12" s="93" t="s">
        <v>152</v>
      </c>
      <c r="F12" s="185">
        <v>55.4</v>
      </c>
      <c r="G12" s="186"/>
      <c r="H12" s="82"/>
      <c r="I12" s="74">
        <f>$I$7</f>
        <v>7.2</v>
      </c>
      <c r="J12" s="147"/>
      <c r="K12" s="75">
        <f t="shared" si="0"/>
        <v>398.88</v>
      </c>
      <c r="L12" s="75" t="str">
        <f t="shared" si="1"/>
        <v/>
      </c>
      <c r="M12" s="75">
        <f t="shared" si="2"/>
        <v>398.88</v>
      </c>
      <c r="N12" s="172">
        <f t="shared" si="3"/>
        <v>0.3352</v>
      </c>
      <c r="O12" s="178">
        <v>600</v>
      </c>
      <c r="P12" s="179">
        <v>0</v>
      </c>
      <c r="Q12" s="177">
        <v>200</v>
      </c>
      <c r="R12" s="75">
        <f t="shared" si="4"/>
        <v>10.830324909747294</v>
      </c>
      <c r="S12" s="94" t="s">
        <v>239</v>
      </c>
      <c r="T12" s="180" t="s">
        <v>154</v>
      </c>
      <c r="U12" s="95"/>
      <c r="V12" s="75">
        <f t="shared" si="5"/>
        <v>600</v>
      </c>
      <c r="W12" s="75">
        <f t="shared" si="6"/>
        <v>300</v>
      </c>
      <c r="X12" s="75">
        <f t="shared" si="7"/>
        <v>90</v>
      </c>
      <c r="Y12" s="78"/>
      <c r="Z12" s="83">
        <f t="shared" si="8"/>
        <v>20</v>
      </c>
      <c r="AA12" s="84">
        <f t="shared" si="9"/>
        <v>3.75</v>
      </c>
      <c r="AB12" s="84">
        <f t="shared" si="10"/>
        <v>0.1</v>
      </c>
      <c r="AC12" s="84" t="s">
        <v>171</v>
      </c>
      <c r="AD12" s="37">
        <f t="shared" si="11"/>
        <v>600</v>
      </c>
      <c r="AE12" s="192"/>
      <c r="AF12" s="85">
        <f t="shared" si="12"/>
        <v>0.19</v>
      </c>
      <c r="AG12" s="81"/>
      <c r="AH12" s="85">
        <f t="shared" si="13"/>
        <v>0.8</v>
      </c>
      <c r="AI12" s="81"/>
      <c r="AJ12" s="85">
        <f t="shared" si="14"/>
        <v>1.2</v>
      </c>
      <c r="AK12" s="81"/>
      <c r="AL12" s="85">
        <f t="shared" si="15"/>
        <v>0.1</v>
      </c>
      <c r="AM12" s="182">
        <f t="shared" si="16"/>
        <v>55.4</v>
      </c>
      <c r="AN12" s="85">
        <f t="shared" si="17"/>
        <v>0.18</v>
      </c>
      <c r="AO12" s="38"/>
      <c r="AP12" s="39">
        <f t="shared" si="18"/>
        <v>0.15</v>
      </c>
      <c r="AQ12" s="38"/>
      <c r="AR12" s="40">
        <f t="shared" si="19"/>
        <v>0</v>
      </c>
      <c r="AS12" s="40">
        <f t="shared" si="20"/>
        <v>0</v>
      </c>
      <c r="AT12" s="40">
        <f t="shared" si="21"/>
        <v>0</v>
      </c>
      <c r="AU12" s="40">
        <f t="shared" si="22"/>
        <v>0</v>
      </c>
      <c r="AV12" s="40">
        <f t="shared" si="23"/>
        <v>418.82399999999996</v>
      </c>
      <c r="AW12" s="40">
        <f t="shared" si="24"/>
        <v>0</v>
      </c>
      <c r="AX12" s="75">
        <f t="shared" si="25"/>
        <v>418.82399999999996</v>
      </c>
      <c r="AY12" s="75">
        <f t="shared" si="26"/>
        <v>299.06476740000005</v>
      </c>
      <c r="AZ12" s="86">
        <f t="shared" si="27"/>
        <v>0</v>
      </c>
      <c r="BA12" s="143">
        <f t="shared" si="28"/>
        <v>717.88876740000001</v>
      </c>
      <c r="BB12" s="144">
        <f t="shared" si="29"/>
        <v>143.57775348000001</v>
      </c>
      <c r="BC12" s="143">
        <f t="shared" si="30"/>
        <v>861.46652087999996</v>
      </c>
      <c r="BD12" s="87">
        <f>F12*30</f>
        <v>1662</v>
      </c>
      <c r="BE12" s="143">
        <f t="shared" si="31"/>
        <v>30</v>
      </c>
      <c r="BF12" s="88"/>
      <c r="BG12" s="89">
        <f t="shared" si="32"/>
        <v>0</v>
      </c>
      <c r="BH12" s="89">
        <f t="shared" si="33"/>
        <v>443.2</v>
      </c>
      <c r="BI12" s="89">
        <f t="shared" si="34"/>
        <v>700</v>
      </c>
      <c r="BJ12" s="90">
        <f t="shared" si="35"/>
        <v>0.85</v>
      </c>
      <c r="BK12" s="89">
        <f t="shared" si="36"/>
        <v>0</v>
      </c>
      <c r="BL12" s="109"/>
      <c r="BM12" s="110">
        <f t="shared" si="37"/>
        <v>443.2</v>
      </c>
      <c r="BN12" s="45">
        <f t="shared" si="38"/>
        <v>18</v>
      </c>
      <c r="BO12" s="45">
        <f t="shared" si="39"/>
        <v>26</v>
      </c>
      <c r="BP12" s="89">
        <f t="shared" si="40"/>
        <v>1680</v>
      </c>
      <c r="BQ12" s="91"/>
      <c r="BR12" s="41">
        <f t="shared" si="41"/>
        <v>1680</v>
      </c>
      <c r="BS12" s="110">
        <f t="shared" si="42"/>
        <v>-1236.8</v>
      </c>
      <c r="BT12" s="110" t="str">
        <f t="shared" si="43"/>
        <v/>
      </c>
    </row>
    <row r="13" spans="1:72" s="92" customFormat="1" x14ac:dyDescent="0.2">
      <c r="B13" s="228" t="s">
        <v>253</v>
      </c>
      <c r="C13" s="184" t="s">
        <v>131</v>
      </c>
      <c r="D13" s="174"/>
      <c r="E13" s="93" t="s">
        <v>152</v>
      </c>
      <c r="F13" s="185">
        <v>23.8</v>
      </c>
      <c r="G13" s="186"/>
      <c r="H13" s="82"/>
      <c r="I13" s="74">
        <v>3.6</v>
      </c>
      <c r="J13" s="147"/>
      <c r="K13" s="75">
        <f t="shared" si="0"/>
        <v>85.68</v>
      </c>
      <c r="L13" s="75" t="str">
        <f t="shared" si="1"/>
        <v/>
      </c>
      <c r="M13" s="75">
        <f t="shared" si="2"/>
        <v>85.68</v>
      </c>
      <c r="N13" s="172">
        <f t="shared" si="3"/>
        <v>0.5716</v>
      </c>
      <c r="O13" s="178">
        <v>200</v>
      </c>
      <c r="P13" s="179"/>
      <c r="Q13" s="177"/>
      <c r="R13" s="75">
        <f t="shared" si="4"/>
        <v>8.4033613445378155</v>
      </c>
      <c r="S13" s="94" t="s">
        <v>239</v>
      </c>
      <c r="T13" s="180"/>
      <c r="U13" s="95"/>
      <c r="V13" s="75">
        <f t="shared" si="5"/>
        <v>0</v>
      </c>
      <c r="W13" s="75">
        <f t="shared" si="6"/>
        <v>0</v>
      </c>
      <c r="X13" s="75">
        <f t="shared" si="7"/>
        <v>0</v>
      </c>
      <c r="Y13" s="78"/>
      <c r="Z13" s="83">
        <f t="shared" si="8"/>
        <v>20</v>
      </c>
      <c r="AA13" s="84">
        <f t="shared" si="9"/>
        <v>3.75</v>
      </c>
      <c r="AB13" s="84">
        <f t="shared" si="10"/>
        <v>0.1</v>
      </c>
      <c r="AC13" s="84">
        <f t="shared" ref="AC13:AC26" si="44">tilltemper</f>
        <v>20</v>
      </c>
      <c r="AD13" s="37">
        <f t="shared" si="11"/>
        <v>200</v>
      </c>
      <c r="AE13" s="192">
        <v>2.65</v>
      </c>
      <c r="AF13" s="85">
        <f t="shared" si="12"/>
        <v>0.19</v>
      </c>
      <c r="AG13" s="81">
        <v>2.98</v>
      </c>
      <c r="AH13" s="85">
        <f t="shared" si="13"/>
        <v>0.8</v>
      </c>
      <c r="AI13" s="81"/>
      <c r="AJ13" s="85">
        <f t="shared" si="14"/>
        <v>1.2</v>
      </c>
      <c r="AK13" s="81"/>
      <c r="AL13" s="85">
        <f t="shared" si="15"/>
        <v>0.1</v>
      </c>
      <c r="AM13" s="182">
        <f t="shared" si="16"/>
        <v>23.8</v>
      </c>
      <c r="AN13" s="85">
        <f t="shared" si="17"/>
        <v>0.18</v>
      </c>
      <c r="AO13" s="38"/>
      <c r="AP13" s="39">
        <f t="shared" si="18"/>
        <v>0.15</v>
      </c>
      <c r="AQ13" s="38"/>
      <c r="AR13" s="40">
        <f t="shared" si="19"/>
        <v>55.520850000000003</v>
      </c>
      <c r="AS13" s="40">
        <f t="shared" si="20"/>
        <v>100.128</v>
      </c>
      <c r="AT13" s="40">
        <f t="shared" si="21"/>
        <v>0</v>
      </c>
      <c r="AU13" s="40">
        <f t="shared" si="22"/>
        <v>0</v>
      </c>
      <c r="AV13" s="40">
        <f t="shared" si="23"/>
        <v>179.928</v>
      </c>
      <c r="AW13" s="40">
        <f t="shared" si="24"/>
        <v>0</v>
      </c>
      <c r="AX13" s="75">
        <f t="shared" si="25"/>
        <v>335.57685000000004</v>
      </c>
      <c r="AY13" s="75">
        <f t="shared" si="26"/>
        <v>128.47908780000003</v>
      </c>
      <c r="AZ13" s="86">
        <f t="shared" si="27"/>
        <v>0</v>
      </c>
      <c r="BA13" s="143">
        <f t="shared" si="28"/>
        <v>464.05593780000004</v>
      </c>
      <c r="BB13" s="144">
        <f t="shared" si="29"/>
        <v>92.811187560000008</v>
      </c>
      <c r="BC13" s="143">
        <f t="shared" si="30"/>
        <v>556.86712536000005</v>
      </c>
      <c r="BD13" s="87">
        <v>730</v>
      </c>
      <c r="BE13" s="143">
        <f t="shared" si="31"/>
        <v>30.672268907563023</v>
      </c>
      <c r="BF13" s="88"/>
      <c r="BG13" s="89">
        <f t="shared" si="32"/>
        <v>0</v>
      </c>
      <c r="BH13" s="89">
        <f t="shared" si="33"/>
        <v>190.4</v>
      </c>
      <c r="BI13" s="89">
        <f t="shared" si="34"/>
        <v>700</v>
      </c>
      <c r="BJ13" s="90">
        <f t="shared" si="35"/>
        <v>0.85</v>
      </c>
      <c r="BK13" s="89">
        <f t="shared" si="36"/>
        <v>312.90000000000003</v>
      </c>
      <c r="BL13" s="109"/>
      <c r="BM13" s="110">
        <f t="shared" si="37"/>
        <v>503.30000000000007</v>
      </c>
      <c r="BN13" s="45">
        <f t="shared" si="38"/>
        <v>18</v>
      </c>
      <c r="BO13" s="45">
        <f t="shared" si="39"/>
        <v>26</v>
      </c>
      <c r="BP13" s="89">
        <f t="shared" si="40"/>
        <v>560</v>
      </c>
      <c r="BQ13" s="91"/>
      <c r="BR13" s="41">
        <f t="shared" si="41"/>
        <v>560</v>
      </c>
      <c r="BS13" s="110">
        <f t="shared" si="42"/>
        <v>-56.699999999999932</v>
      </c>
      <c r="BT13" s="110" t="str">
        <f t="shared" si="43"/>
        <v/>
      </c>
    </row>
    <row r="14" spans="1:72" s="92" customFormat="1" x14ac:dyDescent="0.2">
      <c r="B14" s="231" t="s">
        <v>252</v>
      </c>
      <c r="C14" s="188" t="s">
        <v>137</v>
      </c>
      <c r="D14" s="174"/>
      <c r="E14" s="35" t="s">
        <v>152</v>
      </c>
      <c r="F14" s="189">
        <v>4</v>
      </c>
      <c r="G14" s="186"/>
      <c r="H14" s="82"/>
      <c r="I14" s="74">
        <f>$I$7</f>
        <v>7.2</v>
      </c>
      <c r="J14" s="147"/>
      <c r="K14" s="75">
        <f t="shared" si="0"/>
        <v>28.8</v>
      </c>
      <c r="L14" s="75" t="str">
        <f t="shared" si="1"/>
        <v/>
      </c>
      <c r="M14" s="75">
        <f t="shared" si="2"/>
        <v>28.8</v>
      </c>
      <c r="N14" s="172" t="e">
        <f t="shared" si="3"/>
        <v>#DIV/0!</v>
      </c>
      <c r="O14" s="178"/>
      <c r="P14" s="179"/>
      <c r="Q14" s="177"/>
      <c r="R14" s="75">
        <f t="shared" si="4"/>
        <v>0</v>
      </c>
      <c r="S14" s="94" t="s">
        <v>240</v>
      </c>
      <c r="T14" s="180"/>
      <c r="U14" s="95"/>
      <c r="V14" s="75">
        <f t="shared" si="5"/>
        <v>0</v>
      </c>
      <c r="W14" s="75">
        <f t="shared" si="6"/>
        <v>0</v>
      </c>
      <c r="X14" s="75">
        <f t="shared" si="7"/>
        <v>0</v>
      </c>
      <c r="Y14" s="78"/>
      <c r="Z14" s="83">
        <f t="shared" si="8"/>
        <v>20</v>
      </c>
      <c r="AA14" s="84">
        <f t="shared" si="9"/>
        <v>3.75</v>
      </c>
      <c r="AB14" s="84">
        <f t="shared" si="10"/>
        <v>0.1</v>
      </c>
      <c r="AC14" s="84">
        <f t="shared" si="44"/>
        <v>20</v>
      </c>
      <c r="AD14" s="37">
        <f t="shared" si="11"/>
        <v>0</v>
      </c>
      <c r="AE14" s="192"/>
      <c r="AF14" s="85">
        <f t="shared" si="12"/>
        <v>0.19</v>
      </c>
      <c r="AG14" s="81"/>
      <c r="AH14" s="85">
        <f t="shared" si="13"/>
        <v>0.8</v>
      </c>
      <c r="AI14" s="81"/>
      <c r="AJ14" s="85">
        <f t="shared" si="14"/>
        <v>1.2</v>
      </c>
      <c r="AK14" s="81"/>
      <c r="AL14" s="85">
        <f t="shared" si="15"/>
        <v>0.1</v>
      </c>
      <c r="AM14" s="182">
        <f t="shared" si="16"/>
        <v>4</v>
      </c>
      <c r="AN14" s="85">
        <f t="shared" si="17"/>
        <v>0.18</v>
      </c>
      <c r="AO14" s="38"/>
      <c r="AP14" s="39">
        <f t="shared" si="18"/>
        <v>0.15</v>
      </c>
      <c r="AQ14" s="38"/>
      <c r="AR14" s="40">
        <f t="shared" si="19"/>
        <v>0</v>
      </c>
      <c r="AS14" s="40">
        <f t="shared" si="20"/>
        <v>0</v>
      </c>
      <c r="AT14" s="40">
        <f t="shared" si="21"/>
        <v>0</v>
      </c>
      <c r="AU14" s="40">
        <f t="shared" si="22"/>
        <v>0</v>
      </c>
      <c r="AV14" s="40">
        <f t="shared" si="23"/>
        <v>30.24</v>
      </c>
      <c r="AW14" s="40">
        <f t="shared" si="24"/>
        <v>0</v>
      </c>
      <c r="AX14" s="75">
        <f t="shared" si="25"/>
        <v>30.24</v>
      </c>
      <c r="AY14" s="75">
        <f t="shared" si="26"/>
        <v>21.593124000000003</v>
      </c>
      <c r="AZ14" s="86">
        <f t="shared" si="27"/>
        <v>0</v>
      </c>
      <c r="BA14" s="143">
        <f t="shared" si="28"/>
        <v>51.833123999999998</v>
      </c>
      <c r="BB14" s="144">
        <f t="shared" si="29"/>
        <v>10.3666248</v>
      </c>
      <c r="BC14" s="143">
        <f t="shared" si="30"/>
        <v>62.199748799999995</v>
      </c>
      <c r="BD14" s="87">
        <v>0</v>
      </c>
      <c r="BE14" s="143">
        <f t="shared" si="31"/>
        <v>0</v>
      </c>
      <c r="BF14" s="88"/>
      <c r="BG14" s="89">
        <f t="shared" si="32"/>
        <v>0</v>
      </c>
      <c r="BH14" s="89">
        <f t="shared" si="33"/>
        <v>32</v>
      </c>
      <c r="BI14" s="89">
        <f t="shared" si="34"/>
        <v>700</v>
      </c>
      <c r="BJ14" s="90">
        <f t="shared" si="35"/>
        <v>0.85</v>
      </c>
      <c r="BK14" s="89">
        <f t="shared" si="36"/>
        <v>0</v>
      </c>
      <c r="BL14" s="109"/>
      <c r="BM14" s="110">
        <f t="shared" si="37"/>
        <v>32</v>
      </c>
      <c r="BN14" s="45">
        <f t="shared" si="38"/>
        <v>18</v>
      </c>
      <c r="BO14" s="45">
        <f t="shared" si="39"/>
        <v>26</v>
      </c>
      <c r="BP14" s="89">
        <f t="shared" si="40"/>
        <v>0</v>
      </c>
      <c r="BQ14" s="91"/>
      <c r="BR14" s="41">
        <f t="shared" si="41"/>
        <v>0</v>
      </c>
      <c r="BS14" s="110">
        <f t="shared" si="42"/>
        <v>32</v>
      </c>
      <c r="BT14" s="110">
        <f t="shared" si="43"/>
        <v>11.428571428571429</v>
      </c>
    </row>
    <row r="15" spans="1:72" s="92" customFormat="1" x14ac:dyDescent="0.2">
      <c r="B15" s="228" t="s">
        <v>190</v>
      </c>
      <c r="C15" s="184" t="s">
        <v>191</v>
      </c>
      <c r="D15" s="174"/>
      <c r="E15" s="35" t="s">
        <v>152</v>
      </c>
      <c r="F15" s="185">
        <v>10.6</v>
      </c>
      <c r="G15" s="186"/>
      <c r="H15" s="82"/>
      <c r="I15" s="74">
        <f>$I$7</f>
        <v>7.2</v>
      </c>
      <c r="J15" s="147">
        <v>26</v>
      </c>
      <c r="K15" s="75">
        <f t="shared" si="0"/>
        <v>76.319999999999993</v>
      </c>
      <c r="L15" s="75" t="str">
        <f t="shared" si="1"/>
        <v/>
      </c>
      <c r="M15" s="75">
        <f t="shared" si="2"/>
        <v>76.319999999999993</v>
      </c>
      <c r="N15" s="172">
        <f t="shared" si="3"/>
        <v>0.68200000000000005</v>
      </c>
      <c r="O15" s="178">
        <v>240</v>
      </c>
      <c r="P15" s="179">
        <v>240</v>
      </c>
      <c r="Q15" s="177">
        <v>170</v>
      </c>
      <c r="R15" s="75">
        <f t="shared" si="4"/>
        <v>22.641509433962266</v>
      </c>
      <c r="S15" s="94" t="s">
        <v>239</v>
      </c>
      <c r="T15" s="180" t="s">
        <v>154</v>
      </c>
      <c r="U15" s="95"/>
      <c r="V15" s="75">
        <f t="shared" si="5"/>
        <v>240</v>
      </c>
      <c r="W15" s="75">
        <f t="shared" si="6"/>
        <v>120</v>
      </c>
      <c r="X15" s="75">
        <f t="shared" si="7"/>
        <v>36</v>
      </c>
      <c r="Y15" s="78"/>
      <c r="Z15" s="83">
        <f t="shared" si="8"/>
        <v>20</v>
      </c>
      <c r="AA15" s="84">
        <f t="shared" si="9"/>
        <v>3.75</v>
      </c>
      <c r="AB15" s="84">
        <f t="shared" si="10"/>
        <v>0.1</v>
      </c>
      <c r="AC15" s="84">
        <f t="shared" si="44"/>
        <v>20</v>
      </c>
      <c r="AD15" s="37">
        <f t="shared" si="11"/>
        <v>240</v>
      </c>
      <c r="AE15" s="192"/>
      <c r="AF15" s="85">
        <f t="shared" si="12"/>
        <v>0.19</v>
      </c>
      <c r="AG15" s="81"/>
      <c r="AH15" s="85">
        <f t="shared" si="13"/>
        <v>0.8</v>
      </c>
      <c r="AI15" s="81"/>
      <c r="AJ15" s="85">
        <f t="shared" si="14"/>
        <v>1.2</v>
      </c>
      <c r="AK15" s="81"/>
      <c r="AL15" s="85">
        <f t="shared" si="15"/>
        <v>0.1</v>
      </c>
      <c r="AM15" s="182">
        <f t="shared" si="16"/>
        <v>10.6</v>
      </c>
      <c r="AN15" s="85">
        <f t="shared" si="17"/>
        <v>0.18</v>
      </c>
      <c r="AO15" s="38"/>
      <c r="AP15" s="39">
        <f t="shared" si="18"/>
        <v>0.15</v>
      </c>
      <c r="AQ15" s="38"/>
      <c r="AR15" s="40">
        <f t="shared" si="19"/>
        <v>0</v>
      </c>
      <c r="AS15" s="40">
        <f t="shared" si="20"/>
        <v>0</v>
      </c>
      <c r="AT15" s="40">
        <f t="shared" si="21"/>
        <v>0</v>
      </c>
      <c r="AU15" s="40">
        <f t="shared" si="22"/>
        <v>0</v>
      </c>
      <c r="AV15" s="40">
        <f t="shared" si="23"/>
        <v>80.135999999999996</v>
      </c>
      <c r="AW15" s="40">
        <f t="shared" si="24"/>
        <v>0</v>
      </c>
      <c r="AX15" s="75">
        <f t="shared" si="25"/>
        <v>80.135999999999996</v>
      </c>
      <c r="AY15" s="75">
        <f t="shared" si="26"/>
        <v>57.221778600000015</v>
      </c>
      <c r="AZ15" s="86">
        <f t="shared" si="27"/>
        <v>0</v>
      </c>
      <c r="BA15" s="143">
        <f t="shared" si="28"/>
        <v>137.35777860000002</v>
      </c>
      <c r="BB15" s="144">
        <f t="shared" si="29"/>
        <v>27.471555720000005</v>
      </c>
      <c r="BC15" s="143">
        <f t="shared" si="30"/>
        <v>164.82933432000002</v>
      </c>
      <c r="BD15" s="87">
        <f>F15*30</f>
        <v>318</v>
      </c>
      <c r="BE15" s="143">
        <f t="shared" si="31"/>
        <v>30</v>
      </c>
      <c r="BF15" s="88"/>
      <c r="BG15" s="89">
        <f t="shared" si="32"/>
        <v>0</v>
      </c>
      <c r="BH15" s="89">
        <f t="shared" si="33"/>
        <v>84.8</v>
      </c>
      <c r="BI15" s="89">
        <f t="shared" si="34"/>
        <v>700</v>
      </c>
      <c r="BJ15" s="90">
        <f t="shared" si="35"/>
        <v>0.85</v>
      </c>
      <c r="BK15" s="89">
        <f t="shared" si="36"/>
        <v>0</v>
      </c>
      <c r="BL15" s="109"/>
      <c r="BM15" s="110">
        <f t="shared" si="37"/>
        <v>84.8</v>
      </c>
      <c r="BN15" s="45">
        <f t="shared" si="38"/>
        <v>18</v>
      </c>
      <c r="BO15" s="45">
        <f t="shared" si="39"/>
        <v>26</v>
      </c>
      <c r="BP15" s="89">
        <f t="shared" si="40"/>
        <v>672</v>
      </c>
      <c r="BQ15" s="91"/>
      <c r="BR15" s="41">
        <f t="shared" si="41"/>
        <v>672</v>
      </c>
      <c r="BS15" s="110">
        <f t="shared" si="42"/>
        <v>-587.20000000000005</v>
      </c>
      <c r="BT15" s="110" t="str">
        <f t="shared" si="43"/>
        <v/>
      </c>
    </row>
    <row r="16" spans="1:72" s="92" customFormat="1" x14ac:dyDescent="0.2">
      <c r="B16" s="228" t="s">
        <v>189</v>
      </c>
      <c r="C16" s="184" t="s">
        <v>124</v>
      </c>
      <c r="D16" s="174"/>
      <c r="E16" s="93" t="s">
        <v>152</v>
      </c>
      <c r="F16" s="185">
        <v>11.6</v>
      </c>
      <c r="G16" s="186">
        <v>1</v>
      </c>
      <c r="H16" s="82"/>
      <c r="I16" s="74">
        <v>15</v>
      </c>
      <c r="J16" s="147">
        <v>50</v>
      </c>
      <c r="K16" s="75">
        <f t="shared" si="0"/>
        <v>174</v>
      </c>
      <c r="L16" s="75">
        <f t="shared" si="1"/>
        <v>50</v>
      </c>
      <c r="M16" s="75">
        <f t="shared" si="2"/>
        <v>224</v>
      </c>
      <c r="N16" s="172" t="e">
        <f t="shared" si="3"/>
        <v>#DIV/0!</v>
      </c>
      <c r="O16" s="178">
        <v>0</v>
      </c>
      <c r="P16" s="179">
        <v>110</v>
      </c>
      <c r="Q16" s="177"/>
      <c r="R16" s="75">
        <f t="shared" si="4"/>
        <v>0</v>
      </c>
      <c r="S16" s="94" t="s">
        <v>239</v>
      </c>
      <c r="T16" s="180" t="s">
        <v>154</v>
      </c>
      <c r="U16" s="95"/>
      <c r="V16" s="75">
        <f t="shared" si="5"/>
        <v>0</v>
      </c>
      <c r="W16" s="75">
        <f t="shared" si="6"/>
        <v>0</v>
      </c>
      <c r="X16" s="75">
        <f t="shared" si="7"/>
        <v>0</v>
      </c>
      <c r="Y16" s="78"/>
      <c r="Z16" s="83">
        <f t="shared" si="8"/>
        <v>20</v>
      </c>
      <c r="AA16" s="84">
        <f t="shared" si="9"/>
        <v>3.75</v>
      </c>
      <c r="AB16" s="84">
        <f t="shared" si="10"/>
        <v>0.1</v>
      </c>
      <c r="AC16" s="84">
        <f t="shared" si="44"/>
        <v>20</v>
      </c>
      <c r="AD16" s="37">
        <f t="shared" si="11"/>
        <v>0</v>
      </c>
      <c r="AE16" s="192"/>
      <c r="AF16" s="85">
        <f t="shared" si="12"/>
        <v>0.19</v>
      </c>
      <c r="AG16" s="81"/>
      <c r="AH16" s="85">
        <f t="shared" si="13"/>
        <v>0.8</v>
      </c>
      <c r="AI16" s="81"/>
      <c r="AJ16" s="85">
        <f t="shared" si="14"/>
        <v>1.2</v>
      </c>
      <c r="AK16" s="81"/>
      <c r="AL16" s="85">
        <f t="shared" si="15"/>
        <v>0.1</v>
      </c>
      <c r="AM16" s="182">
        <f t="shared" si="16"/>
        <v>11.6</v>
      </c>
      <c r="AN16" s="85">
        <f t="shared" si="17"/>
        <v>0.18</v>
      </c>
      <c r="AO16" s="38"/>
      <c r="AP16" s="39">
        <f t="shared" si="18"/>
        <v>0.15</v>
      </c>
      <c r="AQ16" s="38"/>
      <c r="AR16" s="40">
        <f t="shared" si="19"/>
        <v>0</v>
      </c>
      <c r="AS16" s="40">
        <f t="shared" si="20"/>
        <v>0</v>
      </c>
      <c r="AT16" s="40">
        <f t="shared" si="21"/>
        <v>0</v>
      </c>
      <c r="AU16" s="40">
        <f t="shared" si="22"/>
        <v>0</v>
      </c>
      <c r="AV16" s="40">
        <f t="shared" si="23"/>
        <v>87.695999999999998</v>
      </c>
      <c r="AW16" s="40">
        <f t="shared" si="24"/>
        <v>0</v>
      </c>
      <c r="AX16" s="75">
        <f t="shared" si="25"/>
        <v>87.695999999999998</v>
      </c>
      <c r="AY16" s="75">
        <f t="shared" si="26"/>
        <v>62.620059600000012</v>
      </c>
      <c r="AZ16" s="86">
        <f t="shared" si="27"/>
        <v>0</v>
      </c>
      <c r="BA16" s="143">
        <f t="shared" si="28"/>
        <v>150.31605960000002</v>
      </c>
      <c r="BB16" s="144">
        <f t="shared" si="29"/>
        <v>30.063211920000004</v>
      </c>
      <c r="BC16" s="143">
        <f t="shared" si="30"/>
        <v>180.37927152000003</v>
      </c>
      <c r="BD16" s="87">
        <f>F16*50</f>
        <v>580</v>
      </c>
      <c r="BE16" s="143">
        <f t="shared" si="31"/>
        <v>50</v>
      </c>
      <c r="BF16" s="88"/>
      <c r="BG16" s="89">
        <f t="shared" si="32"/>
        <v>80</v>
      </c>
      <c r="BH16" s="89">
        <f t="shared" si="33"/>
        <v>92.8</v>
      </c>
      <c r="BI16" s="89">
        <f t="shared" si="34"/>
        <v>700</v>
      </c>
      <c r="BJ16" s="90">
        <f t="shared" si="35"/>
        <v>0.85</v>
      </c>
      <c r="BK16" s="89">
        <f t="shared" si="36"/>
        <v>0</v>
      </c>
      <c r="BL16" s="109"/>
      <c r="BM16" s="110">
        <f t="shared" si="37"/>
        <v>172.8</v>
      </c>
      <c r="BN16" s="45">
        <f t="shared" si="38"/>
        <v>18</v>
      </c>
      <c r="BO16" s="45">
        <f t="shared" si="39"/>
        <v>26</v>
      </c>
      <c r="BP16" s="89">
        <f t="shared" si="40"/>
        <v>0</v>
      </c>
      <c r="BQ16" s="91"/>
      <c r="BR16" s="41">
        <f t="shared" si="41"/>
        <v>0</v>
      </c>
      <c r="BS16" s="110">
        <f t="shared" si="42"/>
        <v>172.8</v>
      </c>
      <c r="BT16" s="110">
        <f t="shared" si="43"/>
        <v>61.714285714285722</v>
      </c>
    </row>
    <row r="17" spans="1:72" s="92" customFormat="1" x14ac:dyDescent="0.2">
      <c r="B17" s="190" t="s">
        <v>248</v>
      </c>
      <c r="C17" s="184" t="s">
        <v>129</v>
      </c>
      <c r="D17" s="174"/>
      <c r="E17" s="93" t="s">
        <v>152</v>
      </c>
      <c r="F17" s="185">
        <v>1.6</v>
      </c>
      <c r="G17" s="186"/>
      <c r="H17" s="82"/>
      <c r="I17" s="74">
        <f>$I$7</f>
        <v>7.2</v>
      </c>
      <c r="J17" s="147"/>
      <c r="K17" s="75">
        <f t="shared" si="0"/>
        <v>11.520000000000001</v>
      </c>
      <c r="L17" s="75" t="str">
        <f t="shared" si="1"/>
        <v/>
      </c>
      <c r="M17" s="75">
        <f t="shared" si="2"/>
        <v>11.520000000000001</v>
      </c>
      <c r="N17" s="172">
        <f t="shared" si="3"/>
        <v>0.76959999999999995</v>
      </c>
      <c r="O17" s="178">
        <v>50</v>
      </c>
      <c r="P17" s="179">
        <v>50</v>
      </c>
      <c r="Q17" s="177"/>
      <c r="R17" s="75">
        <f t="shared" si="4"/>
        <v>31.25</v>
      </c>
      <c r="S17" s="94" t="s">
        <v>239</v>
      </c>
      <c r="T17" s="180"/>
      <c r="U17" s="95"/>
      <c r="V17" s="75">
        <f t="shared" si="5"/>
        <v>0</v>
      </c>
      <c r="W17" s="75">
        <f t="shared" si="6"/>
        <v>0</v>
      </c>
      <c r="X17" s="75">
        <f t="shared" si="7"/>
        <v>0</v>
      </c>
      <c r="Y17" s="78"/>
      <c r="Z17" s="83">
        <f t="shared" si="8"/>
        <v>20</v>
      </c>
      <c r="AA17" s="84">
        <f t="shared" si="9"/>
        <v>3.75</v>
      </c>
      <c r="AB17" s="84">
        <f t="shared" si="10"/>
        <v>0.1</v>
      </c>
      <c r="AC17" s="84">
        <f t="shared" si="44"/>
        <v>20</v>
      </c>
      <c r="AD17" s="37">
        <f t="shared" si="11"/>
        <v>50</v>
      </c>
      <c r="AE17" s="192"/>
      <c r="AF17" s="85">
        <f t="shared" si="12"/>
        <v>0.19</v>
      </c>
      <c r="AG17" s="81"/>
      <c r="AH17" s="85">
        <f t="shared" si="13"/>
        <v>0.8</v>
      </c>
      <c r="AI17" s="81"/>
      <c r="AJ17" s="85">
        <f t="shared" si="14"/>
        <v>1.2</v>
      </c>
      <c r="AK17" s="182"/>
      <c r="AL17" s="85">
        <f t="shared" si="15"/>
        <v>0.1</v>
      </c>
      <c r="AM17" s="81"/>
      <c r="AN17" s="85">
        <f t="shared" si="17"/>
        <v>0.18</v>
      </c>
      <c r="AO17" s="38"/>
      <c r="AP17" s="39">
        <f t="shared" si="18"/>
        <v>0.15</v>
      </c>
      <c r="AQ17" s="38"/>
      <c r="AR17" s="40">
        <f t="shared" si="19"/>
        <v>0</v>
      </c>
      <c r="AS17" s="40">
        <f t="shared" si="20"/>
        <v>0</v>
      </c>
      <c r="AT17" s="40">
        <f t="shared" si="21"/>
        <v>0</v>
      </c>
      <c r="AU17" s="40">
        <f t="shared" si="22"/>
        <v>0</v>
      </c>
      <c r="AV17" s="40">
        <f t="shared" si="23"/>
        <v>0</v>
      </c>
      <c r="AW17" s="40">
        <f t="shared" si="24"/>
        <v>0</v>
      </c>
      <c r="AX17" s="75">
        <f t="shared" si="25"/>
        <v>0</v>
      </c>
      <c r="AY17" s="75">
        <f t="shared" si="26"/>
        <v>8.6372496000000041</v>
      </c>
      <c r="AZ17" s="86">
        <f t="shared" si="27"/>
        <v>0</v>
      </c>
      <c r="BA17" s="143">
        <f t="shared" si="28"/>
        <v>8.6372496000000041</v>
      </c>
      <c r="BB17" s="144">
        <f t="shared" si="29"/>
        <v>1.7274499200000009</v>
      </c>
      <c r="BC17" s="143">
        <f t="shared" si="30"/>
        <v>10.364699520000006</v>
      </c>
      <c r="BD17" s="87">
        <v>0</v>
      </c>
      <c r="BE17" s="143">
        <f t="shared" si="31"/>
        <v>0</v>
      </c>
      <c r="BF17" s="88"/>
      <c r="BG17" s="89">
        <f t="shared" si="32"/>
        <v>0</v>
      </c>
      <c r="BH17" s="89">
        <f t="shared" si="33"/>
        <v>12.8</v>
      </c>
      <c r="BI17" s="89">
        <f t="shared" si="34"/>
        <v>700</v>
      </c>
      <c r="BJ17" s="90">
        <f t="shared" si="35"/>
        <v>0.85</v>
      </c>
      <c r="BK17" s="89">
        <f t="shared" si="36"/>
        <v>0</v>
      </c>
      <c r="BL17" s="109"/>
      <c r="BM17" s="110">
        <f t="shared" si="37"/>
        <v>12.8</v>
      </c>
      <c r="BN17" s="45">
        <f t="shared" si="38"/>
        <v>18</v>
      </c>
      <c r="BO17" s="45">
        <f t="shared" si="39"/>
        <v>26</v>
      </c>
      <c r="BP17" s="89">
        <f t="shared" si="40"/>
        <v>140</v>
      </c>
      <c r="BQ17" s="91"/>
      <c r="BR17" s="41">
        <f t="shared" si="41"/>
        <v>140</v>
      </c>
      <c r="BS17" s="110">
        <f t="shared" si="42"/>
        <v>-127.2</v>
      </c>
      <c r="BT17" s="110" t="str">
        <f t="shared" si="43"/>
        <v/>
      </c>
    </row>
    <row r="18" spans="1:72" s="92" customFormat="1" x14ac:dyDescent="0.2">
      <c r="B18" s="228" t="s">
        <v>188</v>
      </c>
      <c r="C18" s="184" t="s">
        <v>124</v>
      </c>
      <c r="D18" s="174"/>
      <c r="E18" s="93" t="s">
        <v>152</v>
      </c>
      <c r="F18" s="185">
        <v>10.199999999999999</v>
      </c>
      <c r="G18" s="186">
        <v>1</v>
      </c>
      <c r="H18" s="82"/>
      <c r="I18" s="74">
        <v>15</v>
      </c>
      <c r="J18" s="147">
        <v>50</v>
      </c>
      <c r="K18" s="75">
        <f t="shared" si="0"/>
        <v>153</v>
      </c>
      <c r="L18" s="75">
        <f t="shared" si="1"/>
        <v>50</v>
      </c>
      <c r="M18" s="75">
        <f t="shared" si="2"/>
        <v>203</v>
      </c>
      <c r="N18" s="172" t="e">
        <f t="shared" si="3"/>
        <v>#DIV/0!</v>
      </c>
      <c r="O18" s="178">
        <v>0</v>
      </c>
      <c r="P18" s="179">
        <v>110</v>
      </c>
      <c r="Q18" s="177"/>
      <c r="R18" s="75">
        <f t="shared" si="4"/>
        <v>0</v>
      </c>
      <c r="S18" s="94" t="s">
        <v>239</v>
      </c>
      <c r="T18" s="180" t="s">
        <v>154</v>
      </c>
      <c r="U18" s="95"/>
      <c r="V18" s="75">
        <f t="shared" si="5"/>
        <v>0</v>
      </c>
      <c r="W18" s="75">
        <f t="shared" si="6"/>
        <v>0</v>
      </c>
      <c r="X18" s="75">
        <f t="shared" si="7"/>
        <v>0</v>
      </c>
      <c r="Y18" s="78"/>
      <c r="Z18" s="83">
        <f t="shared" si="8"/>
        <v>20</v>
      </c>
      <c r="AA18" s="84">
        <f t="shared" si="9"/>
        <v>3.75</v>
      </c>
      <c r="AB18" s="84">
        <f t="shared" si="10"/>
        <v>0.1</v>
      </c>
      <c r="AC18" s="84">
        <f t="shared" si="44"/>
        <v>20</v>
      </c>
      <c r="AD18" s="37">
        <f t="shared" si="11"/>
        <v>0</v>
      </c>
      <c r="AE18" s="192"/>
      <c r="AF18" s="85">
        <f t="shared" si="12"/>
        <v>0.19</v>
      </c>
      <c r="AG18" s="81"/>
      <c r="AH18" s="85">
        <f t="shared" si="13"/>
        <v>0.8</v>
      </c>
      <c r="AI18" s="81"/>
      <c r="AJ18" s="85">
        <f t="shared" si="14"/>
        <v>1.2</v>
      </c>
      <c r="AK18" s="81"/>
      <c r="AL18" s="85">
        <f t="shared" si="15"/>
        <v>0.1</v>
      </c>
      <c r="AM18" s="182">
        <f t="shared" ref="AM18:AM25" si="45">F18</f>
        <v>10.199999999999999</v>
      </c>
      <c r="AN18" s="85">
        <f t="shared" si="17"/>
        <v>0.18</v>
      </c>
      <c r="AO18" s="38"/>
      <c r="AP18" s="39">
        <f t="shared" si="18"/>
        <v>0.15</v>
      </c>
      <c r="AQ18" s="38"/>
      <c r="AR18" s="40">
        <f t="shared" si="19"/>
        <v>0</v>
      </c>
      <c r="AS18" s="40">
        <f t="shared" si="20"/>
        <v>0</v>
      </c>
      <c r="AT18" s="40">
        <f t="shared" si="21"/>
        <v>0</v>
      </c>
      <c r="AU18" s="40">
        <f t="shared" si="22"/>
        <v>0</v>
      </c>
      <c r="AV18" s="40">
        <f t="shared" si="23"/>
        <v>77.111999999999995</v>
      </c>
      <c r="AW18" s="40">
        <f t="shared" si="24"/>
        <v>0</v>
      </c>
      <c r="AX18" s="75">
        <f t="shared" si="25"/>
        <v>77.111999999999995</v>
      </c>
      <c r="AY18" s="75">
        <f t="shared" si="26"/>
        <v>55.06246620000001</v>
      </c>
      <c r="AZ18" s="86">
        <f t="shared" si="27"/>
        <v>0</v>
      </c>
      <c r="BA18" s="143">
        <f t="shared" si="28"/>
        <v>132.17446620000001</v>
      </c>
      <c r="BB18" s="144">
        <f t="shared" si="29"/>
        <v>26.434893240000005</v>
      </c>
      <c r="BC18" s="143">
        <f t="shared" si="30"/>
        <v>158.60935944000002</v>
      </c>
      <c r="BD18" s="87">
        <v>320</v>
      </c>
      <c r="BE18" s="143">
        <f t="shared" si="31"/>
        <v>31.372549019607845</v>
      </c>
      <c r="BF18" s="88"/>
      <c r="BG18" s="89">
        <f t="shared" si="32"/>
        <v>80</v>
      </c>
      <c r="BH18" s="89">
        <f t="shared" si="33"/>
        <v>81.599999999999994</v>
      </c>
      <c r="BI18" s="89">
        <f t="shared" si="34"/>
        <v>700</v>
      </c>
      <c r="BJ18" s="90">
        <f t="shared" si="35"/>
        <v>0.85</v>
      </c>
      <c r="BK18" s="89">
        <f t="shared" si="36"/>
        <v>0</v>
      </c>
      <c r="BL18" s="109"/>
      <c r="BM18" s="110">
        <f t="shared" si="37"/>
        <v>161.6</v>
      </c>
      <c r="BN18" s="45">
        <f t="shared" si="38"/>
        <v>18</v>
      </c>
      <c r="BO18" s="45">
        <f t="shared" si="39"/>
        <v>26</v>
      </c>
      <c r="BP18" s="89">
        <f t="shared" si="40"/>
        <v>0</v>
      </c>
      <c r="BQ18" s="91"/>
      <c r="BR18" s="41">
        <f t="shared" si="41"/>
        <v>0</v>
      </c>
      <c r="BS18" s="110">
        <f t="shared" si="42"/>
        <v>161.6</v>
      </c>
      <c r="BT18" s="110">
        <f t="shared" si="43"/>
        <v>57.714285714285715</v>
      </c>
    </row>
    <row r="19" spans="1:72" s="92" customFormat="1" x14ac:dyDescent="0.2">
      <c r="B19" s="228" t="s">
        <v>202</v>
      </c>
      <c r="C19" s="184" t="s">
        <v>136</v>
      </c>
      <c r="D19" s="174"/>
      <c r="E19" s="93" t="s">
        <v>152</v>
      </c>
      <c r="F19" s="185">
        <v>43.9</v>
      </c>
      <c r="G19" s="186"/>
      <c r="H19" s="82"/>
      <c r="I19" s="74">
        <v>7.2</v>
      </c>
      <c r="J19" s="147"/>
      <c r="K19" s="75">
        <f t="shared" si="0"/>
        <v>316.08</v>
      </c>
      <c r="L19" s="75" t="str">
        <f t="shared" si="1"/>
        <v/>
      </c>
      <c r="M19" s="75">
        <f t="shared" si="2"/>
        <v>316.08</v>
      </c>
      <c r="N19" s="172">
        <f t="shared" si="3"/>
        <v>1.2250000000000049E-2</v>
      </c>
      <c r="O19" s="178">
        <v>320</v>
      </c>
      <c r="P19" s="179">
        <v>590</v>
      </c>
      <c r="Q19" s="177"/>
      <c r="R19" s="75">
        <f t="shared" si="4"/>
        <v>7.2892938496583142</v>
      </c>
      <c r="S19" s="94" t="s">
        <v>239</v>
      </c>
      <c r="T19" s="180"/>
      <c r="U19" s="95"/>
      <c r="V19" s="75">
        <f t="shared" si="5"/>
        <v>0</v>
      </c>
      <c r="W19" s="75">
        <f t="shared" si="6"/>
        <v>0</v>
      </c>
      <c r="X19" s="75">
        <f t="shared" si="7"/>
        <v>0</v>
      </c>
      <c r="Y19" s="78"/>
      <c r="Z19" s="83">
        <f t="shared" si="8"/>
        <v>20</v>
      </c>
      <c r="AA19" s="84">
        <f t="shared" si="9"/>
        <v>3.75</v>
      </c>
      <c r="AB19" s="84">
        <f t="shared" si="10"/>
        <v>0.1</v>
      </c>
      <c r="AC19" s="84">
        <f t="shared" si="44"/>
        <v>20</v>
      </c>
      <c r="AD19" s="37">
        <f t="shared" si="11"/>
        <v>320</v>
      </c>
      <c r="AE19" s="192">
        <v>2.14</v>
      </c>
      <c r="AF19" s="85">
        <f t="shared" si="12"/>
        <v>0.19</v>
      </c>
      <c r="AG19" s="81"/>
      <c r="AH19" s="85">
        <f t="shared" si="13"/>
        <v>0.8</v>
      </c>
      <c r="AI19" s="81"/>
      <c r="AJ19" s="85">
        <f t="shared" si="14"/>
        <v>1.2</v>
      </c>
      <c r="AK19" s="81"/>
      <c r="AL19" s="85">
        <f t="shared" si="15"/>
        <v>0.1</v>
      </c>
      <c r="AM19" s="182">
        <f t="shared" si="45"/>
        <v>43.9</v>
      </c>
      <c r="AN19" s="85">
        <f t="shared" si="17"/>
        <v>0.18</v>
      </c>
      <c r="AO19" s="38"/>
      <c r="AP19" s="39">
        <f t="shared" si="18"/>
        <v>0.15</v>
      </c>
      <c r="AQ19" s="38"/>
      <c r="AR19" s="40">
        <f t="shared" si="19"/>
        <v>64.039500000000004</v>
      </c>
      <c r="AS19" s="40">
        <f t="shared" si="20"/>
        <v>0</v>
      </c>
      <c r="AT19" s="40">
        <f t="shared" si="21"/>
        <v>0</v>
      </c>
      <c r="AU19" s="40">
        <f t="shared" si="22"/>
        <v>0</v>
      </c>
      <c r="AV19" s="40">
        <f t="shared" si="23"/>
        <v>331.88399999999996</v>
      </c>
      <c r="AW19" s="40">
        <f t="shared" si="24"/>
        <v>0</v>
      </c>
      <c r="AX19" s="75">
        <f t="shared" si="25"/>
        <v>395.92349999999999</v>
      </c>
      <c r="AY19" s="75">
        <f t="shared" si="26"/>
        <v>236.98453590000005</v>
      </c>
      <c r="AZ19" s="86">
        <f t="shared" si="27"/>
        <v>0</v>
      </c>
      <c r="BA19" s="143">
        <f t="shared" si="28"/>
        <v>632.90803590000007</v>
      </c>
      <c r="BB19" s="144">
        <f t="shared" si="29"/>
        <v>126.58160718000002</v>
      </c>
      <c r="BC19" s="143">
        <f t="shared" si="30"/>
        <v>759.48964308000006</v>
      </c>
      <c r="BD19" s="87">
        <f>F19*30</f>
        <v>1317</v>
      </c>
      <c r="BE19" s="143">
        <f t="shared" si="31"/>
        <v>30</v>
      </c>
      <c r="BF19" s="88"/>
      <c r="BG19" s="89">
        <f t="shared" si="32"/>
        <v>0</v>
      </c>
      <c r="BH19" s="89">
        <f t="shared" si="33"/>
        <v>351.2</v>
      </c>
      <c r="BI19" s="89">
        <f t="shared" si="34"/>
        <v>700</v>
      </c>
      <c r="BJ19" s="90">
        <f t="shared" si="35"/>
        <v>0.85</v>
      </c>
      <c r="BK19" s="89">
        <f t="shared" si="36"/>
        <v>0</v>
      </c>
      <c r="BL19" s="109"/>
      <c r="BM19" s="110">
        <f t="shared" si="37"/>
        <v>351.2</v>
      </c>
      <c r="BN19" s="45">
        <f t="shared" si="38"/>
        <v>18</v>
      </c>
      <c r="BO19" s="45">
        <f t="shared" si="39"/>
        <v>26</v>
      </c>
      <c r="BP19" s="89">
        <f t="shared" si="40"/>
        <v>896</v>
      </c>
      <c r="BQ19" s="91"/>
      <c r="BR19" s="41">
        <f t="shared" si="41"/>
        <v>896</v>
      </c>
      <c r="BS19" s="110">
        <f t="shared" si="42"/>
        <v>-544.79999999999995</v>
      </c>
      <c r="BT19" s="110" t="str">
        <f t="shared" si="43"/>
        <v/>
      </c>
    </row>
    <row r="20" spans="1:72" s="92" customFormat="1" x14ac:dyDescent="0.2">
      <c r="B20" s="183" t="s">
        <v>199</v>
      </c>
      <c r="C20" s="184" t="s">
        <v>122</v>
      </c>
      <c r="D20" s="174"/>
      <c r="E20" s="93" t="s">
        <v>152</v>
      </c>
      <c r="F20" s="185">
        <v>23.7</v>
      </c>
      <c r="G20" s="186"/>
      <c r="H20" s="82"/>
      <c r="I20" s="74">
        <f t="shared" ref="I20:I26" si="46">$I$7</f>
        <v>7.2</v>
      </c>
      <c r="J20" s="147">
        <v>26</v>
      </c>
      <c r="K20" s="75">
        <f t="shared" si="0"/>
        <v>170.64</v>
      </c>
      <c r="L20" s="75" t="str">
        <f t="shared" si="1"/>
        <v/>
      </c>
      <c r="M20" s="75">
        <f t="shared" si="2"/>
        <v>170.64</v>
      </c>
      <c r="N20" s="172">
        <f t="shared" si="3"/>
        <v>0.74531343283582097</v>
      </c>
      <c r="O20" s="178">
        <v>670</v>
      </c>
      <c r="P20" s="179"/>
      <c r="Q20" s="177"/>
      <c r="R20" s="75">
        <f t="shared" si="4"/>
        <v>28.270042194092827</v>
      </c>
      <c r="S20" s="94" t="s">
        <v>239</v>
      </c>
      <c r="T20" s="180" t="s">
        <v>154</v>
      </c>
      <c r="U20" s="95"/>
      <c r="V20" s="75">
        <f t="shared" si="5"/>
        <v>670</v>
      </c>
      <c r="W20" s="75">
        <f t="shared" si="6"/>
        <v>335</v>
      </c>
      <c r="X20" s="75">
        <f t="shared" si="7"/>
        <v>100.5</v>
      </c>
      <c r="Y20" s="78"/>
      <c r="Z20" s="83">
        <f t="shared" si="8"/>
        <v>20</v>
      </c>
      <c r="AA20" s="84">
        <f t="shared" si="9"/>
        <v>3.75</v>
      </c>
      <c r="AB20" s="84">
        <f t="shared" si="10"/>
        <v>0.1</v>
      </c>
      <c r="AC20" s="84">
        <f t="shared" si="44"/>
        <v>20</v>
      </c>
      <c r="AD20" s="37">
        <f t="shared" si="11"/>
        <v>670</v>
      </c>
      <c r="AE20" s="192"/>
      <c r="AF20" s="85">
        <f t="shared" si="12"/>
        <v>0.19</v>
      </c>
      <c r="AG20" s="81"/>
      <c r="AH20" s="85">
        <f t="shared" si="13"/>
        <v>0.8</v>
      </c>
      <c r="AI20" s="81"/>
      <c r="AJ20" s="85">
        <f t="shared" si="14"/>
        <v>1.2</v>
      </c>
      <c r="AK20" s="81"/>
      <c r="AL20" s="85">
        <f t="shared" si="15"/>
        <v>0.1</v>
      </c>
      <c r="AM20" s="182">
        <f t="shared" si="45"/>
        <v>23.7</v>
      </c>
      <c r="AN20" s="85">
        <f t="shared" si="17"/>
        <v>0.18</v>
      </c>
      <c r="AO20" s="38"/>
      <c r="AP20" s="39">
        <f t="shared" si="18"/>
        <v>0.15</v>
      </c>
      <c r="AQ20" s="38"/>
      <c r="AR20" s="40">
        <f t="shared" si="19"/>
        <v>0</v>
      </c>
      <c r="AS20" s="40">
        <f t="shared" si="20"/>
        <v>0</v>
      </c>
      <c r="AT20" s="40">
        <f t="shared" si="21"/>
        <v>0</v>
      </c>
      <c r="AU20" s="40">
        <f t="shared" si="22"/>
        <v>0</v>
      </c>
      <c r="AV20" s="40">
        <f t="shared" si="23"/>
        <v>179.172</v>
      </c>
      <c r="AW20" s="40">
        <f t="shared" si="24"/>
        <v>0</v>
      </c>
      <c r="AX20" s="75">
        <f t="shared" si="25"/>
        <v>179.172</v>
      </c>
      <c r="AY20" s="75">
        <f t="shared" si="26"/>
        <v>127.93925970000002</v>
      </c>
      <c r="AZ20" s="86">
        <f t="shared" si="27"/>
        <v>0</v>
      </c>
      <c r="BA20" s="143">
        <f t="shared" si="28"/>
        <v>307.11125970000001</v>
      </c>
      <c r="BB20" s="144">
        <f t="shared" si="29"/>
        <v>61.422251940000002</v>
      </c>
      <c r="BC20" s="143">
        <f t="shared" si="30"/>
        <v>368.53351164000003</v>
      </c>
      <c r="BD20" s="87">
        <f>F20*50</f>
        <v>1185</v>
      </c>
      <c r="BE20" s="143">
        <f t="shared" si="31"/>
        <v>50</v>
      </c>
      <c r="BF20" s="88"/>
      <c r="BG20" s="89">
        <f t="shared" si="32"/>
        <v>0</v>
      </c>
      <c r="BH20" s="89">
        <f t="shared" si="33"/>
        <v>189.6</v>
      </c>
      <c r="BI20" s="89">
        <f t="shared" si="34"/>
        <v>700</v>
      </c>
      <c r="BJ20" s="90">
        <f t="shared" si="35"/>
        <v>0.85</v>
      </c>
      <c r="BK20" s="89">
        <f t="shared" si="36"/>
        <v>0</v>
      </c>
      <c r="BL20" s="109"/>
      <c r="BM20" s="110">
        <f t="shared" si="37"/>
        <v>189.6</v>
      </c>
      <c r="BN20" s="45">
        <f t="shared" si="38"/>
        <v>18</v>
      </c>
      <c r="BO20" s="45">
        <f t="shared" si="39"/>
        <v>26</v>
      </c>
      <c r="BP20" s="89">
        <f t="shared" si="40"/>
        <v>1875.9999999999998</v>
      </c>
      <c r="BQ20" s="91"/>
      <c r="BR20" s="41">
        <f t="shared" si="41"/>
        <v>1875.9999999999998</v>
      </c>
      <c r="BS20" s="110">
        <f t="shared" si="42"/>
        <v>-1686.3999999999999</v>
      </c>
      <c r="BT20" s="110" t="str">
        <f t="shared" si="43"/>
        <v/>
      </c>
    </row>
    <row r="21" spans="1:72" s="92" customFormat="1" x14ac:dyDescent="0.2">
      <c r="B21" s="183" t="s">
        <v>200</v>
      </c>
      <c r="C21" s="184" t="s">
        <v>121</v>
      </c>
      <c r="D21" s="174"/>
      <c r="E21" s="35" t="s">
        <v>152</v>
      </c>
      <c r="F21" s="185">
        <v>14.7</v>
      </c>
      <c r="G21" s="186">
        <v>7</v>
      </c>
      <c r="H21" s="82"/>
      <c r="I21" s="74">
        <f t="shared" si="46"/>
        <v>7.2</v>
      </c>
      <c r="J21" s="147">
        <v>80</v>
      </c>
      <c r="K21" s="75">
        <f t="shared" si="0"/>
        <v>105.84</v>
      </c>
      <c r="L21" s="75">
        <f t="shared" si="1"/>
        <v>560</v>
      </c>
      <c r="M21" s="75">
        <f t="shared" si="2"/>
        <v>665.84</v>
      </c>
      <c r="N21" s="172" t="e">
        <f t="shared" si="3"/>
        <v>#DIV/0!</v>
      </c>
      <c r="O21" s="178"/>
      <c r="P21" s="179">
        <v>560</v>
      </c>
      <c r="Q21" s="177"/>
      <c r="R21" s="75">
        <f t="shared" si="4"/>
        <v>0</v>
      </c>
      <c r="S21" s="94" t="s">
        <v>239</v>
      </c>
      <c r="T21" s="180" t="s">
        <v>154</v>
      </c>
      <c r="U21" s="95"/>
      <c r="V21" s="75">
        <f t="shared" si="5"/>
        <v>0</v>
      </c>
      <c r="W21" s="75">
        <f t="shared" si="6"/>
        <v>0</v>
      </c>
      <c r="X21" s="75">
        <f t="shared" si="7"/>
        <v>0</v>
      </c>
      <c r="Y21" s="78"/>
      <c r="Z21" s="83">
        <f t="shared" si="8"/>
        <v>20</v>
      </c>
      <c r="AA21" s="84">
        <f t="shared" si="9"/>
        <v>3.75</v>
      </c>
      <c r="AB21" s="84">
        <f t="shared" si="10"/>
        <v>0.1</v>
      </c>
      <c r="AC21" s="84">
        <f t="shared" si="44"/>
        <v>20</v>
      </c>
      <c r="AD21" s="37">
        <f t="shared" si="11"/>
        <v>0</v>
      </c>
      <c r="AE21" s="192">
        <v>6.94</v>
      </c>
      <c r="AF21" s="85">
        <f t="shared" si="12"/>
        <v>0.19</v>
      </c>
      <c r="AG21" s="81"/>
      <c r="AH21" s="85">
        <f t="shared" si="13"/>
        <v>0.8</v>
      </c>
      <c r="AI21" s="81"/>
      <c r="AJ21" s="85">
        <f t="shared" si="14"/>
        <v>1.2</v>
      </c>
      <c r="AK21" s="81"/>
      <c r="AL21" s="85">
        <f t="shared" si="15"/>
        <v>0.1</v>
      </c>
      <c r="AM21" s="182">
        <f t="shared" si="45"/>
        <v>14.7</v>
      </c>
      <c r="AN21" s="85">
        <f t="shared" si="17"/>
        <v>0.18</v>
      </c>
      <c r="AO21" s="38"/>
      <c r="AP21" s="39">
        <f t="shared" si="18"/>
        <v>0.15</v>
      </c>
      <c r="AQ21" s="38"/>
      <c r="AR21" s="40">
        <f t="shared" si="19"/>
        <v>207.67950000000005</v>
      </c>
      <c r="AS21" s="40">
        <f t="shared" si="20"/>
        <v>0</v>
      </c>
      <c r="AT21" s="40">
        <f t="shared" si="21"/>
        <v>0</v>
      </c>
      <c r="AU21" s="40">
        <f t="shared" si="22"/>
        <v>0</v>
      </c>
      <c r="AV21" s="40">
        <f t="shared" si="23"/>
        <v>111.13199999999999</v>
      </c>
      <c r="AW21" s="40">
        <f t="shared" si="24"/>
        <v>0</v>
      </c>
      <c r="AX21" s="75">
        <f t="shared" si="25"/>
        <v>318.81150000000002</v>
      </c>
      <c r="AY21" s="75">
        <f t="shared" si="26"/>
        <v>79.354730700000005</v>
      </c>
      <c r="AZ21" s="86">
        <f t="shared" si="27"/>
        <v>0</v>
      </c>
      <c r="BA21" s="143">
        <f t="shared" si="28"/>
        <v>398.16623070000003</v>
      </c>
      <c r="BB21" s="144">
        <f t="shared" si="29"/>
        <v>79.633246140000011</v>
      </c>
      <c r="BC21" s="143">
        <f t="shared" si="30"/>
        <v>477.79947684000001</v>
      </c>
      <c r="BD21" s="87">
        <f>F21*80</f>
        <v>1176</v>
      </c>
      <c r="BE21" s="143">
        <f t="shared" si="31"/>
        <v>80</v>
      </c>
      <c r="BF21" s="88"/>
      <c r="BG21" s="89">
        <f t="shared" si="32"/>
        <v>560</v>
      </c>
      <c r="BH21" s="89">
        <f t="shared" si="33"/>
        <v>117.6</v>
      </c>
      <c r="BI21" s="89">
        <f t="shared" si="34"/>
        <v>700</v>
      </c>
      <c r="BJ21" s="90">
        <f t="shared" si="35"/>
        <v>0.85</v>
      </c>
      <c r="BK21" s="89">
        <f t="shared" si="36"/>
        <v>0</v>
      </c>
      <c r="BL21" s="109"/>
      <c r="BM21" s="110">
        <f t="shared" si="37"/>
        <v>677.6</v>
      </c>
      <c r="BN21" s="45">
        <f t="shared" si="38"/>
        <v>18</v>
      </c>
      <c r="BO21" s="45">
        <f t="shared" si="39"/>
        <v>26</v>
      </c>
      <c r="BP21" s="89">
        <f t="shared" si="40"/>
        <v>0</v>
      </c>
      <c r="BQ21" s="91"/>
      <c r="BR21" s="41">
        <f t="shared" si="41"/>
        <v>0</v>
      </c>
      <c r="BS21" s="110">
        <f t="shared" si="42"/>
        <v>677.6</v>
      </c>
      <c r="BT21" s="110">
        <f t="shared" si="43"/>
        <v>242.00000000000003</v>
      </c>
    </row>
    <row r="22" spans="1:72" s="92" customFormat="1" x14ac:dyDescent="0.2">
      <c r="B22" s="183" t="s">
        <v>201</v>
      </c>
      <c r="C22" s="184" t="s">
        <v>123</v>
      </c>
      <c r="D22" s="174"/>
      <c r="E22" s="93" t="s">
        <v>152</v>
      </c>
      <c r="F22" s="185">
        <v>6.2</v>
      </c>
      <c r="G22" s="186"/>
      <c r="H22" s="82"/>
      <c r="I22" s="74">
        <f t="shared" si="46"/>
        <v>7.2</v>
      </c>
      <c r="J22" s="147"/>
      <c r="K22" s="75">
        <f t="shared" si="0"/>
        <v>44.64</v>
      </c>
      <c r="L22" s="75" t="str">
        <f t="shared" si="1"/>
        <v/>
      </c>
      <c r="M22" s="75">
        <f t="shared" si="2"/>
        <v>44.64</v>
      </c>
      <c r="N22" s="172" t="e">
        <f t="shared" si="3"/>
        <v>#DIV/0!</v>
      </c>
      <c r="O22" s="178"/>
      <c r="P22" s="179">
        <v>110</v>
      </c>
      <c r="Q22" s="177"/>
      <c r="R22" s="75">
        <f t="shared" si="4"/>
        <v>0</v>
      </c>
      <c r="S22" s="94" t="s">
        <v>239</v>
      </c>
      <c r="T22" s="180"/>
      <c r="U22" s="95"/>
      <c r="V22" s="75">
        <f t="shared" si="5"/>
        <v>0</v>
      </c>
      <c r="W22" s="75">
        <f t="shared" si="6"/>
        <v>0</v>
      </c>
      <c r="X22" s="75">
        <f t="shared" si="7"/>
        <v>0</v>
      </c>
      <c r="Y22" s="78"/>
      <c r="Z22" s="83">
        <f t="shared" si="8"/>
        <v>20</v>
      </c>
      <c r="AA22" s="84">
        <f t="shared" si="9"/>
        <v>3.75</v>
      </c>
      <c r="AB22" s="84">
        <f t="shared" si="10"/>
        <v>0.1</v>
      </c>
      <c r="AC22" s="84">
        <f t="shared" si="44"/>
        <v>20</v>
      </c>
      <c r="AD22" s="37">
        <f t="shared" si="11"/>
        <v>0</v>
      </c>
      <c r="AE22" s="192">
        <v>2.25</v>
      </c>
      <c r="AF22" s="85">
        <f t="shared" si="12"/>
        <v>0.19</v>
      </c>
      <c r="AG22" s="81"/>
      <c r="AH22" s="85">
        <f t="shared" si="13"/>
        <v>0.8</v>
      </c>
      <c r="AI22" s="81"/>
      <c r="AJ22" s="85">
        <f t="shared" si="14"/>
        <v>1.2</v>
      </c>
      <c r="AK22" s="81"/>
      <c r="AL22" s="85">
        <f t="shared" si="15"/>
        <v>0.1</v>
      </c>
      <c r="AM22" s="182">
        <f t="shared" si="45"/>
        <v>6.2</v>
      </c>
      <c r="AN22" s="85">
        <f t="shared" si="17"/>
        <v>0.18</v>
      </c>
      <c r="AO22" s="38"/>
      <c r="AP22" s="39">
        <f t="shared" si="18"/>
        <v>0.15</v>
      </c>
      <c r="AQ22" s="38"/>
      <c r="AR22" s="40">
        <f t="shared" si="19"/>
        <v>67.331249999999997</v>
      </c>
      <c r="AS22" s="40">
        <f t="shared" si="20"/>
        <v>0</v>
      </c>
      <c r="AT22" s="40">
        <f t="shared" si="21"/>
        <v>0</v>
      </c>
      <c r="AU22" s="40">
        <f t="shared" si="22"/>
        <v>0</v>
      </c>
      <c r="AV22" s="40">
        <f t="shared" si="23"/>
        <v>46.871999999999993</v>
      </c>
      <c r="AW22" s="40">
        <f t="shared" si="24"/>
        <v>0</v>
      </c>
      <c r="AX22" s="75">
        <f t="shared" si="25"/>
        <v>114.20325</v>
      </c>
      <c r="AY22" s="75">
        <f t="shared" si="26"/>
        <v>33.469342200000007</v>
      </c>
      <c r="AZ22" s="86">
        <f t="shared" si="27"/>
        <v>0</v>
      </c>
      <c r="BA22" s="143">
        <f t="shared" si="28"/>
        <v>147.6725922</v>
      </c>
      <c r="BB22" s="144">
        <f t="shared" si="29"/>
        <v>29.534518439999999</v>
      </c>
      <c r="BC22" s="143">
        <f t="shared" si="30"/>
        <v>177.20711064</v>
      </c>
      <c r="BD22" s="87">
        <v>195</v>
      </c>
      <c r="BE22" s="143">
        <f t="shared" si="31"/>
        <v>31.451612903225804</v>
      </c>
      <c r="BF22" s="88"/>
      <c r="BG22" s="89">
        <f t="shared" si="32"/>
        <v>0</v>
      </c>
      <c r="BH22" s="89">
        <f t="shared" si="33"/>
        <v>49.6</v>
      </c>
      <c r="BI22" s="89">
        <f t="shared" si="34"/>
        <v>700</v>
      </c>
      <c r="BJ22" s="90">
        <f t="shared" si="35"/>
        <v>0.85</v>
      </c>
      <c r="BK22" s="89">
        <f t="shared" si="36"/>
        <v>0</v>
      </c>
      <c r="BL22" s="109"/>
      <c r="BM22" s="110">
        <f t="shared" si="37"/>
        <v>49.6</v>
      </c>
      <c r="BN22" s="45">
        <f t="shared" si="38"/>
        <v>18</v>
      </c>
      <c r="BO22" s="45">
        <f t="shared" si="39"/>
        <v>26</v>
      </c>
      <c r="BP22" s="89">
        <f t="shared" si="40"/>
        <v>0</v>
      </c>
      <c r="BQ22" s="91"/>
      <c r="BR22" s="41">
        <f t="shared" si="41"/>
        <v>0</v>
      </c>
      <c r="BS22" s="110">
        <f t="shared" si="42"/>
        <v>49.6</v>
      </c>
      <c r="BT22" s="110">
        <f t="shared" si="43"/>
        <v>17.714285714285715</v>
      </c>
    </row>
    <row r="23" spans="1:72" s="92" customFormat="1" x14ac:dyDescent="0.2">
      <c r="B23" s="183" t="s">
        <v>198</v>
      </c>
      <c r="C23" s="184" t="s">
        <v>122</v>
      </c>
      <c r="D23" s="174"/>
      <c r="E23" s="93" t="s">
        <v>152</v>
      </c>
      <c r="F23" s="185">
        <v>25.4</v>
      </c>
      <c r="G23" s="186"/>
      <c r="H23" s="82"/>
      <c r="I23" s="74">
        <f t="shared" si="46"/>
        <v>7.2</v>
      </c>
      <c r="J23" s="147">
        <v>26</v>
      </c>
      <c r="K23" s="75">
        <f t="shared" si="0"/>
        <v>182.88</v>
      </c>
      <c r="L23" s="75" t="str">
        <f t="shared" si="1"/>
        <v/>
      </c>
      <c r="M23" s="75">
        <f t="shared" si="2"/>
        <v>182.88</v>
      </c>
      <c r="N23" s="172">
        <f t="shared" si="3"/>
        <v>0.72704477611940299</v>
      </c>
      <c r="O23" s="178">
        <v>670</v>
      </c>
      <c r="P23" s="179"/>
      <c r="Q23" s="177"/>
      <c r="R23" s="75">
        <f t="shared" si="4"/>
        <v>26.377952755905515</v>
      </c>
      <c r="S23" s="94" t="s">
        <v>239</v>
      </c>
      <c r="T23" s="180" t="s">
        <v>154</v>
      </c>
      <c r="U23" s="95"/>
      <c r="V23" s="75">
        <f t="shared" si="5"/>
        <v>670</v>
      </c>
      <c r="W23" s="75">
        <f t="shared" si="6"/>
        <v>335</v>
      </c>
      <c r="X23" s="75">
        <f t="shared" si="7"/>
        <v>100.5</v>
      </c>
      <c r="Y23" s="78"/>
      <c r="Z23" s="83">
        <f t="shared" si="8"/>
        <v>20</v>
      </c>
      <c r="AA23" s="84">
        <f t="shared" si="9"/>
        <v>3.75</v>
      </c>
      <c r="AB23" s="84">
        <f t="shared" si="10"/>
        <v>0.1</v>
      </c>
      <c r="AC23" s="84">
        <f t="shared" si="44"/>
        <v>20</v>
      </c>
      <c r="AD23" s="37">
        <f t="shared" si="11"/>
        <v>670</v>
      </c>
      <c r="AE23" s="192"/>
      <c r="AF23" s="85">
        <f t="shared" si="12"/>
        <v>0.19</v>
      </c>
      <c r="AG23" s="81"/>
      <c r="AH23" s="85">
        <f t="shared" si="13"/>
        <v>0.8</v>
      </c>
      <c r="AI23" s="81"/>
      <c r="AJ23" s="85">
        <f t="shared" si="14"/>
        <v>1.2</v>
      </c>
      <c r="AK23" s="81"/>
      <c r="AL23" s="85">
        <f t="shared" si="15"/>
        <v>0.1</v>
      </c>
      <c r="AM23" s="182">
        <f t="shared" si="45"/>
        <v>25.4</v>
      </c>
      <c r="AN23" s="85">
        <f t="shared" si="17"/>
        <v>0.18</v>
      </c>
      <c r="AO23" s="38"/>
      <c r="AP23" s="39">
        <f t="shared" si="18"/>
        <v>0.15</v>
      </c>
      <c r="AQ23" s="38"/>
      <c r="AR23" s="40">
        <f t="shared" si="19"/>
        <v>0</v>
      </c>
      <c r="AS23" s="40">
        <f t="shared" si="20"/>
        <v>0</v>
      </c>
      <c r="AT23" s="40">
        <f t="shared" si="21"/>
        <v>0</v>
      </c>
      <c r="AU23" s="40">
        <f t="shared" si="22"/>
        <v>0</v>
      </c>
      <c r="AV23" s="40">
        <f t="shared" si="23"/>
        <v>192.02399999999997</v>
      </c>
      <c r="AW23" s="40">
        <f t="shared" si="24"/>
        <v>0</v>
      </c>
      <c r="AX23" s="75">
        <f t="shared" si="25"/>
        <v>192.02399999999997</v>
      </c>
      <c r="AY23" s="75">
        <f t="shared" si="26"/>
        <v>137.11633740000002</v>
      </c>
      <c r="AZ23" s="86">
        <f t="shared" si="27"/>
        <v>0</v>
      </c>
      <c r="BA23" s="143">
        <f t="shared" si="28"/>
        <v>329.14033740000002</v>
      </c>
      <c r="BB23" s="144">
        <f t="shared" si="29"/>
        <v>65.828067480000001</v>
      </c>
      <c r="BC23" s="143">
        <f t="shared" si="30"/>
        <v>394.96840488000004</v>
      </c>
      <c r="BD23" s="87">
        <f>F23*50</f>
        <v>1270</v>
      </c>
      <c r="BE23" s="143">
        <f t="shared" si="31"/>
        <v>50</v>
      </c>
      <c r="BF23" s="88"/>
      <c r="BG23" s="89">
        <f t="shared" si="32"/>
        <v>0</v>
      </c>
      <c r="BH23" s="89">
        <f t="shared" si="33"/>
        <v>203.2</v>
      </c>
      <c r="BI23" s="89">
        <f t="shared" si="34"/>
        <v>700</v>
      </c>
      <c r="BJ23" s="90">
        <f t="shared" si="35"/>
        <v>0.85</v>
      </c>
      <c r="BK23" s="89">
        <f t="shared" si="36"/>
        <v>0</v>
      </c>
      <c r="BL23" s="109"/>
      <c r="BM23" s="110">
        <f t="shared" si="37"/>
        <v>203.2</v>
      </c>
      <c r="BN23" s="45">
        <f t="shared" si="38"/>
        <v>18</v>
      </c>
      <c r="BO23" s="45">
        <f t="shared" si="39"/>
        <v>26</v>
      </c>
      <c r="BP23" s="89">
        <f t="shared" si="40"/>
        <v>1875.9999999999998</v>
      </c>
      <c r="BQ23" s="91"/>
      <c r="BR23" s="41">
        <f t="shared" si="41"/>
        <v>1875.9999999999998</v>
      </c>
      <c r="BS23" s="110">
        <f t="shared" si="42"/>
        <v>-1672.7999999999997</v>
      </c>
      <c r="BT23" s="110" t="str">
        <f t="shared" si="43"/>
        <v/>
      </c>
    </row>
    <row r="24" spans="1:72" s="92" customFormat="1" x14ac:dyDescent="0.2">
      <c r="B24" s="183" t="s">
        <v>197</v>
      </c>
      <c r="C24" s="184" t="s">
        <v>121</v>
      </c>
      <c r="D24" s="174"/>
      <c r="E24" s="35" t="s">
        <v>152</v>
      </c>
      <c r="F24" s="185">
        <v>16</v>
      </c>
      <c r="G24" s="186">
        <v>7</v>
      </c>
      <c r="H24" s="82"/>
      <c r="I24" s="74">
        <f t="shared" si="46"/>
        <v>7.2</v>
      </c>
      <c r="J24" s="147">
        <v>80</v>
      </c>
      <c r="K24" s="75">
        <f t="shared" si="0"/>
        <v>115.2</v>
      </c>
      <c r="L24" s="75">
        <f t="shared" si="1"/>
        <v>560</v>
      </c>
      <c r="M24" s="75">
        <f t="shared" si="2"/>
        <v>675.2</v>
      </c>
      <c r="N24" s="172" t="e">
        <f t="shared" si="3"/>
        <v>#DIV/0!</v>
      </c>
      <c r="O24" s="178"/>
      <c r="P24" s="179">
        <v>560</v>
      </c>
      <c r="Q24" s="177"/>
      <c r="R24" s="75">
        <f t="shared" si="4"/>
        <v>0</v>
      </c>
      <c r="S24" s="94" t="s">
        <v>239</v>
      </c>
      <c r="T24" s="180" t="s">
        <v>154</v>
      </c>
      <c r="U24" s="95"/>
      <c r="V24" s="75">
        <f t="shared" si="5"/>
        <v>0</v>
      </c>
      <c r="W24" s="75">
        <f t="shared" si="6"/>
        <v>0</v>
      </c>
      <c r="X24" s="75">
        <f t="shared" si="7"/>
        <v>0</v>
      </c>
      <c r="Y24" s="78"/>
      <c r="Z24" s="83">
        <f t="shared" si="8"/>
        <v>20</v>
      </c>
      <c r="AA24" s="84">
        <f t="shared" si="9"/>
        <v>3.75</v>
      </c>
      <c r="AB24" s="84">
        <f t="shared" si="10"/>
        <v>0.1</v>
      </c>
      <c r="AC24" s="84">
        <f t="shared" si="44"/>
        <v>20</v>
      </c>
      <c r="AD24" s="37">
        <f t="shared" si="11"/>
        <v>0</v>
      </c>
      <c r="AE24" s="192"/>
      <c r="AF24" s="85">
        <f t="shared" si="12"/>
        <v>0.19</v>
      </c>
      <c r="AG24" s="81"/>
      <c r="AH24" s="85">
        <f t="shared" si="13"/>
        <v>0.8</v>
      </c>
      <c r="AI24" s="81"/>
      <c r="AJ24" s="85">
        <f t="shared" si="14"/>
        <v>1.2</v>
      </c>
      <c r="AK24" s="81"/>
      <c r="AL24" s="85">
        <f t="shared" si="15"/>
        <v>0.1</v>
      </c>
      <c r="AM24" s="182">
        <f t="shared" si="45"/>
        <v>16</v>
      </c>
      <c r="AN24" s="85">
        <f t="shared" si="17"/>
        <v>0.18</v>
      </c>
      <c r="AO24" s="38"/>
      <c r="AP24" s="39">
        <f t="shared" si="18"/>
        <v>0.15</v>
      </c>
      <c r="AQ24" s="38"/>
      <c r="AR24" s="40">
        <f t="shared" si="19"/>
        <v>0</v>
      </c>
      <c r="AS24" s="40">
        <f t="shared" si="20"/>
        <v>0</v>
      </c>
      <c r="AT24" s="40">
        <f t="shared" si="21"/>
        <v>0</v>
      </c>
      <c r="AU24" s="40">
        <f t="shared" si="22"/>
        <v>0</v>
      </c>
      <c r="AV24" s="40">
        <f t="shared" si="23"/>
        <v>120.96</v>
      </c>
      <c r="AW24" s="40">
        <f t="shared" si="24"/>
        <v>0</v>
      </c>
      <c r="AX24" s="75">
        <f t="shared" si="25"/>
        <v>120.96</v>
      </c>
      <c r="AY24" s="75">
        <f t="shared" si="26"/>
        <v>86.372496000000012</v>
      </c>
      <c r="AZ24" s="86">
        <f t="shared" si="27"/>
        <v>0</v>
      </c>
      <c r="BA24" s="143">
        <f t="shared" si="28"/>
        <v>207.33249599999999</v>
      </c>
      <c r="BB24" s="144">
        <f t="shared" si="29"/>
        <v>41.466499200000001</v>
      </c>
      <c r="BC24" s="143">
        <f t="shared" si="30"/>
        <v>248.79899519999998</v>
      </c>
      <c r="BD24" s="87">
        <f>F24*80</f>
        <v>1280</v>
      </c>
      <c r="BE24" s="143">
        <f t="shared" si="31"/>
        <v>80</v>
      </c>
      <c r="BF24" s="88"/>
      <c r="BG24" s="89">
        <f t="shared" si="32"/>
        <v>560</v>
      </c>
      <c r="BH24" s="89">
        <f t="shared" si="33"/>
        <v>128</v>
      </c>
      <c r="BI24" s="89">
        <f t="shared" si="34"/>
        <v>700</v>
      </c>
      <c r="BJ24" s="90">
        <f t="shared" si="35"/>
        <v>0.85</v>
      </c>
      <c r="BK24" s="89">
        <f t="shared" si="36"/>
        <v>0</v>
      </c>
      <c r="BL24" s="109"/>
      <c r="BM24" s="110">
        <f t="shared" si="37"/>
        <v>688</v>
      </c>
      <c r="BN24" s="45">
        <f t="shared" si="38"/>
        <v>18</v>
      </c>
      <c r="BO24" s="45">
        <f t="shared" si="39"/>
        <v>26</v>
      </c>
      <c r="BP24" s="89">
        <f t="shared" si="40"/>
        <v>0</v>
      </c>
      <c r="BQ24" s="91"/>
      <c r="BR24" s="41">
        <f t="shared" si="41"/>
        <v>0</v>
      </c>
      <c r="BS24" s="110">
        <f t="shared" si="42"/>
        <v>688</v>
      </c>
      <c r="BT24" s="110">
        <f t="shared" si="43"/>
        <v>245.71428571428572</v>
      </c>
    </row>
    <row r="25" spans="1:72" s="92" customFormat="1" x14ac:dyDescent="0.2">
      <c r="B25" s="183" t="s">
        <v>196</v>
      </c>
      <c r="C25" s="184" t="s">
        <v>123</v>
      </c>
      <c r="D25" s="174"/>
      <c r="E25" s="93" t="s">
        <v>152</v>
      </c>
      <c r="F25" s="185">
        <v>6.2</v>
      </c>
      <c r="G25" s="186"/>
      <c r="H25" s="82"/>
      <c r="I25" s="74">
        <f t="shared" si="46"/>
        <v>7.2</v>
      </c>
      <c r="J25" s="147"/>
      <c r="K25" s="75">
        <f t="shared" si="0"/>
        <v>44.64</v>
      </c>
      <c r="L25" s="75" t="str">
        <f t="shared" si="1"/>
        <v/>
      </c>
      <c r="M25" s="75">
        <f t="shared" si="2"/>
        <v>44.64</v>
      </c>
      <c r="N25" s="172" t="e">
        <f t="shared" si="3"/>
        <v>#DIV/0!</v>
      </c>
      <c r="O25" s="178"/>
      <c r="P25" s="179">
        <v>110</v>
      </c>
      <c r="Q25" s="177"/>
      <c r="R25" s="75">
        <f t="shared" si="4"/>
        <v>0</v>
      </c>
      <c r="S25" s="94" t="s">
        <v>239</v>
      </c>
      <c r="T25" s="180"/>
      <c r="U25" s="95"/>
      <c r="V25" s="75">
        <f t="shared" si="5"/>
        <v>0</v>
      </c>
      <c r="W25" s="75">
        <f t="shared" si="6"/>
        <v>0</v>
      </c>
      <c r="X25" s="75">
        <f t="shared" si="7"/>
        <v>0</v>
      </c>
      <c r="Y25" s="78"/>
      <c r="Z25" s="83">
        <f t="shared" si="8"/>
        <v>20</v>
      </c>
      <c r="AA25" s="84">
        <f t="shared" si="9"/>
        <v>3.75</v>
      </c>
      <c r="AB25" s="84">
        <f t="shared" si="10"/>
        <v>0.1</v>
      </c>
      <c r="AC25" s="84">
        <f t="shared" si="44"/>
        <v>20</v>
      </c>
      <c r="AD25" s="37">
        <f t="shared" si="11"/>
        <v>0</v>
      </c>
      <c r="AE25" s="192"/>
      <c r="AF25" s="85">
        <f t="shared" si="12"/>
        <v>0.19</v>
      </c>
      <c r="AG25" s="81"/>
      <c r="AH25" s="85">
        <f t="shared" si="13"/>
        <v>0.8</v>
      </c>
      <c r="AI25" s="81"/>
      <c r="AJ25" s="85">
        <f t="shared" si="14"/>
        <v>1.2</v>
      </c>
      <c r="AK25" s="81"/>
      <c r="AL25" s="85">
        <f t="shared" si="15"/>
        <v>0.1</v>
      </c>
      <c r="AM25" s="182">
        <f t="shared" si="45"/>
        <v>6.2</v>
      </c>
      <c r="AN25" s="85">
        <f t="shared" si="17"/>
        <v>0.18</v>
      </c>
      <c r="AO25" s="38"/>
      <c r="AP25" s="39">
        <f t="shared" si="18"/>
        <v>0.15</v>
      </c>
      <c r="AQ25" s="38"/>
      <c r="AR25" s="40">
        <f t="shared" si="19"/>
        <v>0</v>
      </c>
      <c r="AS25" s="40">
        <f t="shared" si="20"/>
        <v>0</v>
      </c>
      <c r="AT25" s="40">
        <f t="shared" si="21"/>
        <v>0</v>
      </c>
      <c r="AU25" s="40">
        <f t="shared" si="22"/>
        <v>0</v>
      </c>
      <c r="AV25" s="40">
        <f t="shared" si="23"/>
        <v>46.871999999999993</v>
      </c>
      <c r="AW25" s="40">
        <f t="shared" si="24"/>
        <v>0</v>
      </c>
      <c r="AX25" s="75">
        <f t="shared" si="25"/>
        <v>46.871999999999993</v>
      </c>
      <c r="AY25" s="75">
        <f t="shared" si="26"/>
        <v>33.469342200000007</v>
      </c>
      <c r="AZ25" s="86">
        <f t="shared" si="27"/>
        <v>0</v>
      </c>
      <c r="BA25" s="143">
        <f t="shared" si="28"/>
        <v>80.3413422</v>
      </c>
      <c r="BB25" s="144">
        <f t="shared" si="29"/>
        <v>16.068268440000001</v>
      </c>
      <c r="BC25" s="143">
        <f t="shared" si="30"/>
        <v>96.409610639999997</v>
      </c>
      <c r="BD25" s="87">
        <v>185</v>
      </c>
      <c r="BE25" s="143">
        <f t="shared" si="31"/>
        <v>29.838709677419352</v>
      </c>
      <c r="BF25" s="88"/>
      <c r="BG25" s="89">
        <f t="shared" si="32"/>
        <v>0</v>
      </c>
      <c r="BH25" s="89">
        <f t="shared" si="33"/>
        <v>49.6</v>
      </c>
      <c r="BI25" s="89">
        <f t="shared" si="34"/>
        <v>700</v>
      </c>
      <c r="BJ25" s="90">
        <f t="shared" si="35"/>
        <v>0.85</v>
      </c>
      <c r="BK25" s="89">
        <f t="shared" si="36"/>
        <v>0</v>
      </c>
      <c r="BL25" s="109"/>
      <c r="BM25" s="110">
        <f t="shared" si="37"/>
        <v>49.6</v>
      </c>
      <c r="BN25" s="45">
        <f t="shared" si="38"/>
        <v>18</v>
      </c>
      <c r="BO25" s="45">
        <f t="shared" si="39"/>
        <v>26</v>
      </c>
      <c r="BP25" s="89">
        <f t="shared" si="40"/>
        <v>0</v>
      </c>
      <c r="BQ25" s="91"/>
      <c r="BR25" s="41">
        <f t="shared" si="41"/>
        <v>0</v>
      </c>
      <c r="BS25" s="110">
        <f t="shared" si="42"/>
        <v>49.6</v>
      </c>
      <c r="BT25" s="110">
        <f t="shared" si="43"/>
        <v>17.714285714285715</v>
      </c>
    </row>
    <row r="26" spans="1:72" s="92" customFormat="1" x14ac:dyDescent="0.2">
      <c r="B26" s="190" t="s">
        <v>244</v>
      </c>
      <c r="C26" s="184" t="s">
        <v>136</v>
      </c>
      <c r="D26" s="174"/>
      <c r="E26" s="93" t="s">
        <v>152</v>
      </c>
      <c r="F26" s="185">
        <v>6.9</v>
      </c>
      <c r="G26" s="186"/>
      <c r="H26" s="82"/>
      <c r="I26" s="74">
        <f t="shared" si="46"/>
        <v>7.2</v>
      </c>
      <c r="J26" s="147"/>
      <c r="K26" s="75">
        <f t="shared" si="0"/>
        <v>49.680000000000007</v>
      </c>
      <c r="L26" s="75" t="str">
        <f t="shared" si="1"/>
        <v/>
      </c>
      <c r="M26" s="75">
        <f t="shared" si="2"/>
        <v>49.680000000000007</v>
      </c>
      <c r="N26" s="172" t="e">
        <f t="shared" si="3"/>
        <v>#DIV/0!</v>
      </c>
      <c r="O26" s="178"/>
      <c r="P26" s="179">
        <v>0</v>
      </c>
      <c r="Q26" s="177"/>
      <c r="R26" s="75">
        <f t="shared" si="4"/>
        <v>0</v>
      </c>
      <c r="S26" s="94" t="s">
        <v>239</v>
      </c>
      <c r="T26" s="180" t="s">
        <v>154</v>
      </c>
      <c r="U26" s="95"/>
      <c r="V26" s="75">
        <f t="shared" si="5"/>
        <v>0</v>
      </c>
      <c r="W26" s="75">
        <f t="shared" si="6"/>
        <v>0</v>
      </c>
      <c r="X26" s="75">
        <f t="shared" si="7"/>
        <v>0</v>
      </c>
      <c r="Y26" s="78"/>
      <c r="Z26" s="83">
        <f t="shared" si="8"/>
        <v>20</v>
      </c>
      <c r="AA26" s="84">
        <f t="shared" si="9"/>
        <v>3.75</v>
      </c>
      <c r="AB26" s="84">
        <f t="shared" si="10"/>
        <v>0.1</v>
      </c>
      <c r="AC26" s="84">
        <f t="shared" si="44"/>
        <v>20</v>
      </c>
      <c r="AD26" s="37">
        <f t="shared" si="11"/>
        <v>0</v>
      </c>
      <c r="AE26" s="192"/>
      <c r="AF26" s="85">
        <f t="shared" si="12"/>
        <v>0.19</v>
      </c>
      <c r="AG26" s="81"/>
      <c r="AH26" s="85">
        <f t="shared" si="13"/>
        <v>0.8</v>
      </c>
      <c r="AI26" s="81"/>
      <c r="AJ26" s="85">
        <f t="shared" si="14"/>
        <v>1.2</v>
      </c>
      <c r="AK26" s="182"/>
      <c r="AL26" s="85">
        <f t="shared" si="15"/>
        <v>0.1</v>
      </c>
      <c r="AM26" s="81"/>
      <c r="AN26" s="85">
        <f t="shared" si="17"/>
        <v>0.18</v>
      </c>
      <c r="AO26" s="38"/>
      <c r="AP26" s="39">
        <f t="shared" si="18"/>
        <v>0.15</v>
      </c>
      <c r="AQ26" s="38"/>
      <c r="AR26" s="40">
        <f t="shared" si="19"/>
        <v>0</v>
      </c>
      <c r="AS26" s="40">
        <f t="shared" si="20"/>
        <v>0</v>
      </c>
      <c r="AT26" s="40">
        <f t="shared" si="21"/>
        <v>0</v>
      </c>
      <c r="AU26" s="40">
        <f t="shared" si="22"/>
        <v>0</v>
      </c>
      <c r="AV26" s="40">
        <f t="shared" si="23"/>
        <v>0</v>
      </c>
      <c r="AW26" s="40">
        <f t="shared" si="24"/>
        <v>0</v>
      </c>
      <c r="AX26" s="75">
        <f t="shared" si="25"/>
        <v>0</v>
      </c>
      <c r="AY26" s="75">
        <f t="shared" si="26"/>
        <v>37.248138900000008</v>
      </c>
      <c r="AZ26" s="86">
        <f t="shared" si="27"/>
        <v>0</v>
      </c>
      <c r="BA26" s="143">
        <f t="shared" si="28"/>
        <v>37.248138900000008</v>
      </c>
      <c r="BB26" s="144">
        <f t="shared" si="29"/>
        <v>7.4496277800000019</v>
      </c>
      <c r="BC26" s="143">
        <f t="shared" si="30"/>
        <v>44.697766680000008</v>
      </c>
      <c r="BD26" s="87">
        <v>195</v>
      </c>
      <c r="BE26" s="143">
        <f t="shared" si="31"/>
        <v>28.260869565217391</v>
      </c>
      <c r="BF26" s="88"/>
      <c r="BG26" s="89">
        <f t="shared" si="32"/>
        <v>0</v>
      </c>
      <c r="BH26" s="89">
        <f t="shared" si="33"/>
        <v>55.2</v>
      </c>
      <c r="BI26" s="89">
        <f t="shared" si="34"/>
        <v>700</v>
      </c>
      <c r="BJ26" s="90">
        <f t="shared" si="35"/>
        <v>0.85</v>
      </c>
      <c r="BK26" s="89">
        <f t="shared" si="36"/>
        <v>0</v>
      </c>
      <c r="BL26" s="109"/>
      <c r="BM26" s="110">
        <f t="shared" si="37"/>
        <v>55.2</v>
      </c>
      <c r="BN26" s="45">
        <f t="shared" si="38"/>
        <v>18</v>
      </c>
      <c r="BO26" s="45">
        <f t="shared" si="39"/>
        <v>26</v>
      </c>
      <c r="BP26" s="89">
        <f t="shared" si="40"/>
        <v>0</v>
      </c>
      <c r="BQ26" s="91"/>
      <c r="BR26" s="41">
        <f t="shared" si="41"/>
        <v>0</v>
      </c>
      <c r="BS26" s="110">
        <f t="shared" si="42"/>
        <v>55.2</v>
      </c>
      <c r="BT26" s="110">
        <f t="shared" si="43"/>
        <v>19.714285714285715</v>
      </c>
    </row>
    <row r="27" spans="1:72" s="92" customFormat="1" x14ac:dyDescent="0.2">
      <c r="B27" s="187" t="s">
        <v>195</v>
      </c>
      <c r="C27" s="188" t="s">
        <v>128</v>
      </c>
      <c r="D27" s="174"/>
      <c r="E27" s="93" t="s">
        <v>152</v>
      </c>
      <c r="F27" s="189">
        <v>74.3</v>
      </c>
      <c r="G27" s="186"/>
      <c r="H27" s="82"/>
      <c r="I27" s="74">
        <v>2.5</v>
      </c>
      <c r="J27" s="147"/>
      <c r="K27" s="75">
        <f t="shared" si="0"/>
        <v>185.75</v>
      </c>
      <c r="L27" s="75" t="str">
        <f t="shared" si="1"/>
        <v/>
      </c>
      <c r="M27" s="75">
        <f t="shared" si="2"/>
        <v>185.75</v>
      </c>
      <c r="N27" s="172">
        <f t="shared" si="3"/>
        <v>7.1249999999999994E-2</v>
      </c>
      <c r="O27" s="178">
        <v>200</v>
      </c>
      <c r="P27" s="179">
        <v>200</v>
      </c>
      <c r="Q27" s="177"/>
      <c r="R27" s="75">
        <f t="shared" si="4"/>
        <v>2.6917900403768509</v>
      </c>
      <c r="S27" s="94" t="s">
        <v>239</v>
      </c>
      <c r="T27" s="180"/>
      <c r="U27" s="95"/>
      <c r="V27" s="75">
        <f t="shared" si="5"/>
        <v>0</v>
      </c>
      <c r="W27" s="75">
        <f t="shared" si="6"/>
        <v>0</v>
      </c>
      <c r="X27" s="75">
        <f t="shared" si="7"/>
        <v>0</v>
      </c>
      <c r="Y27" s="78"/>
      <c r="Z27" s="83">
        <f t="shared" si="8"/>
        <v>20</v>
      </c>
      <c r="AA27" s="84">
        <f t="shared" si="9"/>
        <v>3.75</v>
      </c>
      <c r="AB27" s="84">
        <f t="shared" si="10"/>
        <v>0.1</v>
      </c>
      <c r="AC27" s="84" t="s">
        <v>171</v>
      </c>
      <c r="AD27" s="37">
        <f t="shared" si="11"/>
        <v>200</v>
      </c>
      <c r="AE27" s="192">
        <v>17.34</v>
      </c>
      <c r="AF27" s="85">
        <f t="shared" si="12"/>
        <v>0.19</v>
      </c>
      <c r="AG27" s="81"/>
      <c r="AH27" s="85">
        <f t="shared" si="13"/>
        <v>0.8</v>
      </c>
      <c r="AI27" s="81"/>
      <c r="AJ27" s="85">
        <f t="shared" si="14"/>
        <v>1.2</v>
      </c>
      <c r="AK27" s="81"/>
      <c r="AL27" s="85">
        <f t="shared" si="15"/>
        <v>0.1</v>
      </c>
      <c r="AM27" s="182">
        <f t="shared" ref="AM27:AM52" si="47">F27</f>
        <v>74.3</v>
      </c>
      <c r="AN27" s="85">
        <f t="shared" si="17"/>
        <v>0.18</v>
      </c>
      <c r="AO27" s="38"/>
      <c r="AP27" s="39">
        <f t="shared" si="18"/>
        <v>0.15</v>
      </c>
      <c r="AQ27" s="38"/>
      <c r="AR27" s="40">
        <f t="shared" si="19"/>
        <v>518.89949999999999</v>
      </c>
      <c r="AS27" s="40">
        <f t="shared" si="20"/>
        <v>0</v>
      </c>
      <c r="AT27" s="40">
        <f t="shared" si="21"/>
        <v>0</v>
      </c>
      <c r="AU27" s="40">
        <f t="shared" si="22"/>
        <v>0</v>
      </c>
      <c r="AV27" s="40">
        <f t="shared" si="23"/>
        <v>561.70799999999997</v>
      </c>
      <c r="AW27" s="40">
        <f t="shared" si="24"/>
        <v>0</v>
      </c>
      <c r="AX27" s="75">
        <f t="shared" si="25"/>
        <v>1080.6075000000001</v>
      </c>
      <c r="AY27" s="75">
        <f t="shared" si="26"/>
        <v>401.09227830000009</v>
      </c>
      <c r="AZ27" s="86">
        <f t="shared" si="27"/>
        <v>0</v>
      </c>
      <c r="BA27" s="143">
        <f t="shared" si="28"/>
        <v>1481.6997783000002</v>
      </c>
      <c r="BB27" s="144">
        <f t="shared" si="29"/>
        <v>296.33995566000004</v>
      </c>
      <c r="BC27" s="143">
        <f t="shared" si="30"/>
        <v>1778.0397339600001</v>
      </c>
      <c r="BD27" s="87">
        <v>0</v>
      </c>
      <c r="BE27" s="143">
        <f t="shared" si="31"/>
        <v>0</v>
      </c>
      <c r="BF27" s="88"/>
      <c r="BG27" s="89">
        <f t="shared" si="32"/>
        <v>0</v>
      </c>
      <c r="BH27" s="89">
        <f t="shared" si="33"/>
        <v>594.4</v>
      </c>
      <c r="BI27" s="89">
        <f t="shared" si="34"/>
        <v>700</v>
      </c>
      <c r="BJ27" s="90">
        <f t="shared" si="35"/>
        <v>0.85</v>
      </c>
      <c r="BK27" s="89">
        <f t="shared" si="36"/>
        <v>0</v>
      </c>
      <c r="BL27" s="109"/>
      <c r="BM27" s="110">
        <f t="shared" si="37"/>
        <v>594.4</v>
      </c>
      <c r="BN27" s="45">
        <f t="shared" si="38"/>
        <v>18</v>
      </c>
      <c r="BO27" s="45">
        <f t="shared" si="39"/>
        <v>26</v>
      </c>
      <c r="BP27" s="89">
        <f t="shared" si="40"/>
        <v>560</v>
      </c>
      <c r="BQ27" s="91"/>
      <c r="BR27" s="41">
        <f t="shared" si="41"/>
        <v>560</v>
      </c>
      <c r="BS27" s="110">
        <f t="shared" si="42"/>
        <v>34.399999999999977</v>
      </c>
      <c r="BT27" s="110">
        <f t="shared" si="43"/>
        <v>12.285714285714278</v>
      </c>
    </row>
    <row r="28" spans="1:72" s="92" customFormat="1" x14ac:dyDescent="0.2">
      <c r="B28" s="183" t="s">
        <v>194</v>
      </c>
      <c r="C28" s="184" t="s">
        <v>127</v>
      </c>
      <c r="D28" s="174"/>
      <c r="E28" s="35" t="s">
        <v>152</v>
      </c>
      <c r="F28" s="185">
        <v>11.5</v>
      </c>
      <c r="G28" s="186"/>
      <c r="H28" s="82"/>
      <c r="I28" s="74">
        <f>$I$7</f>
        <v>7.2</v>
      </c>
      <c r="J28" s="147"/>
      <c r="K28" s="75">
        <f t="shared" si="0"/>
        <v>82.8</v>
      </c>
      <c r="L28" s="75" t="str">
        <f t="shared" si="1"/>
        <v/>
      </c>
      <c r="M28" s="75">
        <f t="shared" si="2"/>
        <v>82.8</v>
      </c>
      <c r="N28" s="172">
        <f t="shared" si="3"/>
        <v>0.17200000000000004</v>
      </c>
      <c r="O28" s="178">
        <v>100</v>
      </c>
      <c r="P28" s="179">
        <v>100</v>
      </c>
      <c r="Q28" s="177"/>
      <c r="R28" s="75">
        <f t="shared" si="4"/>
        <v>8.695652173913043</v>
      </c>
      <c r="S28" s="94" t="s">
        <v>239</v>
      </c>
      <c r="T28" s="180"/>
      <c r="U28" s="95"/>
      <c r="V28" s="75">
        <f t="shared" si="5"/>
        <v>0</v>
      </c>
      <c r="W28" s="75">
        <f t="shared" si="6"/>
        <v>0</v>
      </c>
      <c r="X28" s="75">
        <f t="shared" si="7"/>
        <v>0</v>
      </c>
      <c r="Y28" s="78"/>
      <c r="Z28" s="83">
        <f t="shared" si="8"/>
        <v>20</v>
      </c>
      <c r="AA28" s="84">
        <f t="shared" si="9"/>
        <v>3.75</v>
      </c>
      <c r="AB28" s="84">
        <f t="shared" si="10"/>
        <v>0.1</v>
      </c>
      <c r="AC28" s="84" t="s">
        <v>171</v>
      </c>
      <c r="AD28" s="37">
        <f t="shared" si="11"/>
        <v>100</v>
      </c>
      <c r="AE28" s="192">
        <v>4.3</v>
      </c>
      <c r="AF28" s="85">
        <f t="shared" si="12"/>
        <v>0.19</v>
      </c>
      <c r="AG28" s="81"/>
      <c r="AH28" s="85">
        <f t="shared" si="13"/>
        <v>0.8</v>
      </c>
      <c r="AI28" s="81"/>
      <c r="AJ28" s="85">
        <f t="shared" si="14"/>
        <v>1.2</v>
      </c>
      <c r="AK28" s="81"/>
      <c r="AL28" s="85">
        <f t="shared" si="15"/>
        <v>0.1</v>
      </c>
      <c r="AM28" s="182">
        <f t="shared" si="47"/>
        <v>11.5</v>
      </c>
      <c r="AN28" s="85">
        <f t="shared" si="17"/>
        <v>0.18</v>
      </c>
      <c r="AO28" s="38"/>
      <c r="AP28" s="39">
        <f t="shared" si="18"/>
        <v>0.15</v>
      </c>
      <c r="AQ28" s="38"/>
      <c r="AR28" s="40">
        <f t="shared" si="19"/>
        <v>128.67750000000001</v>
      </c>
      <c r="AS28" s="40">
        <f t="shared" si="20"/>
        <v>0</v>
      </c>
      <c r="AT28" s="40">
        <f t="shared" si="21"/>
        <v>0</v>
      </c>
      <c r="AU28" s="40">
        <f t="shared" si="22"/>
        <v>0</v>
      </c>
      <c r="AV28" s="40">
        <f t="shared" si="23"/>
        <v>86.94</v>
      </c>
      <c r="AW28" s="40">
        <f t="shared" si="24"/>
        <v>0</v>
      </c>
      <c r="AX28" s="75">
        <f t="shared" si="25"/>
        <v>215.61750000000001</v>
      </c>
      <c r="AY28" s="75">
        <f t="shared" si="26"/>
        <v>62.080231500000011</v>
      </c>
      <c r="AZ28" s="86">
        <f t="shared" si="27"/>
        <v>0</v>
      </c>
      <c r="BA28" s="143">
        <f t="shared" si="28"/>
        <v>277.69773150000003</v>
      </c>
      <c r="BB28" s="144">
        <f t="shared" si="29"/>
        <v>55.539546300000012</v>
      </c>
      <c r="BC28" s="143">
        <f t="shared" si="30"/>
        <v>333.23727780000002</v>
      </c>
      <c r="BD28" s="87">
        <v>0</v>
      </c>
      <c r="BE28" s="143">
        <f t="shared" si="31"/>
        <v>0</v>
      </c>
      <c r="BF28" s="88"/>
      <c r="BG28" s="89">
        <f t="shared" si="32"/>
        <v>0</v>
      </c>
      <c r="BH28" s="89">
        <f t="shared" si="33"/>
        <v>92</v>
      </c>
      <c r="BI28" s="89">
        <f t="shared" si="34"/>
        <v>700</v>
      </c>
      <c r="BJ28" s="90">
        <f t="shared" si="35"/>
        <v>0.85</v>
      </c>
      <c r="BK28" s="89">
        <f t="shared" si="36"/>
        <v>0</v>
      </c>
      <c r="BL28" s="109"/>
      <c r="BM28" s="110">
        <f t="shared" si="37"/>
        <v>92</v>
      </c>
      <c r="BN28" s="45">
        <f t="shared" si="38"/>
        <v>18</v>
      </c>
      <c r="BO28" s="45">
        <f t="shared" si="39"/>
        <v>26</v>
      </c>
      <c r="BP28" s="89">
        <f t="shared" si="40"/>
        <v>280</v>
      </c>
      <c r="BQ28" s="91"/>
      <c r="BR28" s="41">
        <f t="shared" si="41"/>
        <v>280</v>
      </c>
      <c r="BS28" s="110">
        <f t="shared" si="42"/>
        <v>-188</v>
      </c>
      <c r="BT28" s="110" t="str">
        <f t="shared" si="43"/>
        <v/>
      </c>
    </row>
    <row r="29" spans="1:72" s="92" customFormat="1" x14ac:dyDescent="0.2">
      <c r="B29" s="183" t="s">
        <v>175</v>
      </c>
      <c r="C29" s="184" t="s">
        <v>136</v>
      </c>
      <c r="D29" s="174"/>
      <c r="E29" s="93" t="s">
        <v>152</v>
      </c>
      <c r="F29" s="185">
        <v>67.2</v>
      </c>
      <c r="G29" s="186"/>
      <c r="H29" s="82"/>
      <c r="I29" s="74">
        <v>7.2</v>
      </c>
      <c r="J29" s="147"/>
      <c r="K29" s="75">
        <f t="shared" si="0"/>
        <v>483.84000000000003</v>
      </c>
      <c r="L29" s="75" t="str">
        <f t="shared" si="1"/>
        <v/>
      </c>
      <c r="M29" s="75">
        <f t="shared" si="2"/>
        <v>483.84000000000003</v>
      </c>
      <c r="N29" s="172">
        <f t="shared" si="3"/>
        <v>3.2319999999999939E-2</v>
      </c>
      <c r="O29" s="178">
        <v>500</v>
      </c>
      <c r="P29" s="179">
        <v>390</v>
      </c>
      <c r="Q29" s="177"/>
      <c r="R29" s="75">
        <f t="shared" si="4"/>
        <v>7.4404761904761898</v>
      </c>
      <c r="S29" s="94" t="s">
        <v>239</v>
      </c>
      <c r="T29" s="180"/>
      <c r="U29" s="95"/>
      <c r="V29" s="75">
        <f t="shared" si="5"/>
        <v>0</v>
      </c>
      <c r="W29" s="75">
        <f t="shared" si="6"/>
        <v>0</v>
      </c>
      <c r="X29" s="75">
        <f t="shared" si="7"/>
        <v>0</v>
      </c>
      <c r="Y29" s="78"/>
      <c r="Z29" s="83">
        <f t="shared" si="8"/>
        <v>20</v>
      </c>
      <c r="AA29" s="84">
        <f t="shared" si="9"/>
        <v>3.75</v>
      </c>
      <c r="AB29" s="84">
        <f t="shared" si="10"/>
        <v>0.1</v>
      </c>
      <c r="AC29" s="84">
        <f t="shared" ref="AC29:AC50" si="48">tilltemper</f>
        <v>20</v>
      </c>
      <c r="AD29" s="37">
        <f t="shared" si="11"/>
        <v>500</v>
      </c>
      <c r="AE29" s="192">
        <v>23.29</v>
      </c>
      <c r="AF29" s="85">
        <f t="shared" si="12"/>
        <v>0.19</v>
      </c>
      <c r="AG29" s="81">
        <v>6.98</v>
      </c>
      <c r="AH29" s="85">
        <f t="shared" si="13"/>
        <v>0.8</v>
      </c>
      <c r="AI29" s="81"/>
      <c r="AJ29" s="85">
        <f t="shared" si="14"/>
        <v>1.2</v>
      </c>
      <c r="AK29" s="81"/>
      <c r="AL29" s="85">
        <f t="shared" si="15"/>
        <v>0.1</v>
      </c>
      <c r="AM29" s="182">
        <f t="shared" si="47"/>
        <v>67.2</v>
      </c>
      <c r="AN29" s="85">
        <f t="shared" si="17"/>
        <v>0.18</v>
      </c>
      <c r="AO29" s="38"/>
      <c r="AP29" s="39">
        <f t="shared" si="18"/>
        <v>0.15</v>
      </c>
      <c r="AQ29" s="38"/>
      <c r="AR29" s="40">
        <f t="shared" si="19"/>
        <v>641.25284999999997</v>
      </c>
      <c r="AS29" s="40">
        <f t="shared" si="20"/>
        <v>234.52800000000002</v>
      </c>
      <c r="AT29" s="40">
        <f t="shared" si="21"/>
        <v>0</v>
      </c>
      <c r="AU29" s="40">
        <f t="shared" si="22"/>
        <v>0</v>
      </c>
      <c r="AV29" s="40">
        <f t="shared" si="23"/>
        <v>508.03199999999998</v>
      </c>
      <c r="AW29" s="40">
        <f t="shared" si="24"/>
        <v>0</v>
      </c>
      <c r="AX29" s="75">
        <f t="shared" si="25"/>
        <v>1383.81285</v>
      </c>
      <c r="AY29" s="75">
        <f t="shared" si="26"/>
        <v>362.76448320000009</v>
      </c>
      <c r="AZ29" s="86">
        <f t="shared" si="27"/>
        <v>0</v>
      </c>
      <c r="BA29" s="143">
        <f t="shared" si="28"/>
        <v>1746.5773332000001</v>
      </c>
      <c r="BB29" s="144">
        <f t="shared" si="29"/>
        <v>349.31546664000007</v>
      </c>
      <c r="BC29" s="143">
        <f t="shared" si="30"/>
        <v>2095.8927998400004</v>
      </c>
      <c r="BD29" s="87">
        <v>2100</v>
      </c>
      <c r="BE29" s="143">
        <f t="shared" si="31"/>
        <v>31.25</v>
      </c>
      <c r="BF29" s="88"/>
      <c r="BG29" s="89">
        <f t="shared" si="32"/>
        <v>0</v>
      </c>
      <c r="BH29" s="89">
        <f t="shared" si="33"/>
        <v>537.6</v>
      </c>
      <c r="BI29" s="89">
        <f t="shared" si="34"/>
        <v>700</v>
      </c>
      <c r="BJ29" s="90">
        <f t="shared" si="35"/>
        <v>0.85</v>
      </c>
      <c r="BK29" s="89">
        <f t="shared" si="36"/>
        <v>732.90000000000009</v>
      </c>
      <c r="BL29" s="109"/>
      <c r="BM29" s="110">
        <f t="shared" si="37"/>
        <v>1270.5</v>
      </c>
      <c r="BN29" s="45">
        <f t="shared" si="38"/>
        <v>18</v>
      </c>
      <c r="BO29" s="45">
        <f t="shared" si="39"/>
        <v>26</v>
      </c>
      <c r="BP29" s="89">
        <f t="shared" si="40"/>
        <v>1400</v>
      </c>
      <c r="BQ29" s="91"/>
      <c r="BR29" s="41">
        <f t="shared" si="41"/>
        <v>1400</v>
      </c>
      <c r="BS29" s="110">
        <f t="shared" si="42"/>
        <v>-129.5</v>
      </c>
      <c r="BT29" s="110" t="str">
        <f t="shared" si="43"/>
        <v/>
      </c>
    </row>
    <row r="30" spans="1:72" s="92" customFormat="1" x14ac:dyDescent="0.2">
      <c r="B30" s="236" t="s">
        <v>182</v>
      </c>
      <c r="C30" s="184" t="s">
        <v>122</v>
      </c>
      <c r="D30" s="174"/>
      <c r="E30" s="93" t="s">
        <v>152</v>
      </c>
      <c r="F30" s="185">
        <v>21.3</v>
      </c>
      <c r="G30" s="186"/>
      <c r="H30" s="82"/>
      <c r="I30" s="74">
        <f t="shared" ref="I30:I39" si="49">$I$7</f>
        <v>7.2</v>
      </c>
      <c r="J30" s="147">
        <f>$J$7</f>
        <v>26</v>
      </c>
      <c r="K30" s="75">
        <f t="shared" si="0"/>
        <v>153.36000000000001</v>
      </c>
      <c r="L30" s="75" t="str">
        <f t="shared" si="1"/>
        <v/>
      </c>
      <c r="M30" s="75">
        <f t="shared" si="2"/>
        <v>153.36000000000001</v>
      </c>
      <c r="N30" s="172">
        <f t="shared" si="3"/>
        <v>0.77110447761194023</v>
      </c>
      <c r="O30" s="178">
        <v>670</v>
      </c>
      <c r="P30" s="179"/>
      <c r="Q30" s="177"/>
      <c r="R30" s="75">
        <f t="shared" si="4"/>
        <v>31.455399061032864</v>
      </c>
      <c r="S30" s="94" t="s">
        <v>239</v>
      </c>
      <c r="T30" s="180" t="s">
        <v>154</v>
      </c>
      <c r="U30" s="95"/>
      <c r="V30" s="75">
        <f t="shared" si="5"/>
        <v>670</v>
      </c>
      <c r="W30" s="75">
        <f t="shared" si="6"/>
        <v>335</v>
      </c>
      <c r="X30" s="75">
        <f t="shared" si="7"/>
        <v>100.5</v>
      </c>
      <c r="Y30" s="78"/>
      <c r="Z30" s="83">
        <f t="shared" si="8"/>
        <v>20</v>
      </c>
      <c r="AA30" s="84">
        <f t="shared" si="9"/>
        <v>3.75</v>
      </c>
      <c r="AB30" s="84">
        <f t="shared" si="10"/>
        <v>0.1</v>
      </c>
      <c r="AC30" s="84">
        <f t="shared" si="48"/>
        <v>20</v>
      </c>
      <c r="AD30" s="37">
        <f t="shared" si="11"/>
        <v>670</v>
      </c>
      <c r="AE30" s="278"/>
      <c r="AF30" s="85">
        <f t="shared" si="12"/>
        <v>0.19</v>
      </c>
      <c r="AG30" s="81"/>
      <c r="AH30" s="85">
        <f t="shared" si="13"/>
        <v>0.8</v>
      </c>
      <c r="AI30" s="81"/>
      <c r="AJ30" s="85">
        <f t="shared" si="14"/>
        <v>1.2</v>
      </c>
      <c r="AK30" s="81"/>
      <c r="AL30" s="85">
        <f t="shared" si="15"/>
        <v>0.1</v>
      </c>
      <c r="AM30" s="182">
        <f t="shared" si="47"/>
        <v>21.3</v>
      </c>
      <c r="AN30" s="85">
        <f t="shared" si="17"/>
        <v>0.18</v>
      </c>
      <c r="AO30" s="38"/>
      <c r="AP30" s="39">
        <f t="shared" si="18"/>
        <v>0.15</v>
      </c>
      <c r="AQ30" s="38"/>
      <c r="AR30" s="40">
        <f t="shared" si="19"/>
        <v>0</v>
      </c>
      <c r="AS30" s="40">
        <f t="shared" si="20"/>
        <v>0</v>
      </c>
      <c r="AT30" s="40">
        <f t="shared" si="21"/>
        <v>0</v>
      </c>
      <c r="AU30" s="40">
        <f t="shared" si="22"/>
        <v>0</v>
      </c>
      <c r="AV30" s="40">
        <f t="shared" si="23"/>
        <v>161.02799999999999</v>
      </c>
      <c r="AW30" s="40">
        <f t="shared" si="24"/>
        <v>0</v>
      </c>
      <c r="AX30" s="75">
        <f t="shared" si="25"/>
        <v>161.02799999999999</v>
      </c>
      <c r="AY30" s="75">
        <f t="shared" si="26"/>
        <v>114.98338530000002</v>
      </c>
      <c r="AZ30" s="86">
        <f t="shared" si="27"/>
        <v>0</v>
      </c>
      <c r="BA30" s="143">
        <f t="shared" si="28"/>
        <v>276.01138530000003</v>
      </c>
      <c r="BB30" s="144">
        <f t="shared" si="29"/>
        <v>55.202277060000007</v>
      </c>
      <c r="BC30" s="143">
        <f t="shared" si="30"/>
        <v>331.21366236000006</v>
      </c>
      <c r="BD30" s="87">
        <f>F30*50</f>
        <v>1065</v>
      </c>
      <c r="BE30" s="143">
        <f t="shared" si="31"/>
        <v>50</v>
      </c>
      <c r="BF30" s="88"/>
      <c r="BG30" s="89">
        <f t="shared" si="32"/>
        <v>0</v>
      </c>
      <c r="BH30" s="89">
        <f t="shared" si="33"/>
        <v>170.4</v>
      </c>
      <c r="BI30" s="89">
        <f t="shared" si="34"/>
        <v>700</v>
      </c>
      <c r="BJ30" s="90">
        <f t="shared" si="35"/>
        <v>0.85</v>
      </c>
      <c r="BK30" s="89">
        <f t="shared" si="36"/>
        <v>0</v>
      </c>
      <c r="BL30" s="109"/>
      <c r="BM30" s="110">
        <f t="shared" si="37"/>
        <v>170.4</v>
      </c>
      <c r="BN30" s="45">
        <f t="shared" si="38"/>
        <v>18</v>
      </c>
      <c r="BO30" s="45">
        <f t="shared" si="39"/>
        <v>26</v>
      </c>
      <c r="BP30" s="89">
        <f t="shared" si="40"/>
        <v>1875.9999999999998</v>
      </c>
      <c r="BQ30" s="91"/>
      <c r="BR30" s="41">
        <f t="shared" si="41"/>
        <v>1875.9999999999998</v>
      </c>
      <c r="BS30" s="110">
        <f t="shared" si="42"/>
        <v>-1705.5999999999997</v>
      </c>
      <c r="BT30" s="110" t="str">
        <f t="shared" si="43"/>
        <v/>
      </c>
    </row>
    <row r="31" spans="1:72" s="92" customFormat="1" x14ac:dyDescent="0.2">
      <c r="A31" s="67"/>
      <c r="B31" s="183" t="s">
        <v>184</v>
      </c>
      <c r="C31" s="184" t="s">
        <v>121</v>
      </c>
      <c r="D31" s="174"/>
      <c r="E31" s="93" t="s">
        <v>152</v>
      </c>
      <c r="F31" s="185">
        <v>17</v>
      </c>
      <c r="G31" s="186">
        <v>7</v>
      </c>
      <c r="H31" s="82"/>
      <c r="I31" s="74">
        <f t="shared" si="49"/>
        <v>7.2</v>
      </c>
      <c r="J31" s="147">
        <v>26</v>
      </c>
      <c r="K31" s="75">
        <f t="shared" si="0"/>
        <v>122.4</v>
      </c>
      <c r="L31" s="75">
        <f t="shared" si="1"/>
        <v>182</v>
      </c>
      <c r="M31" s="75">
        <f t="shared" si="2"/>
        <v>304.39999999999998</v>
      </c>
      <c r="N31" s="172" t="e">
        <f t="shared" si="3"/>
        <v>#DIV/0!</v>
      </c>
      <c r="O31" s="178"/>
      <c r="P31" s="179">
        <v>560</v>
      </c>
      <c r="Q31" s="177"/>
      <c r="R31" s="75">
        <f t="shared" si="4"/>
        <v>0</v>
      </c>
      <c r="S31" s="94" t="s">
        <v>239</v>
      </c>
      <c r="T31" s="180" t="s">
        <v>154</v>
      </c>
      <c r="U31" s="95"/>
      <c r="V31" s="75">
        <f t="shared" si="5"/>
        <v>0</v>
      </c>
      <c r="W31" s="75">
        <f t="shared" si="6"/>
        <v>0</v>
      </c>
      <c r="X31" s="75">
        <f t="shared" si="7"/>
        <v>0</v>
      </c>
      <c r="Y31" s="78"/>
      <c r="Z31" s="83">
        <f t="shared" si="8"/>
        <v>20</v>
      </c>
      <c r="AA31" s="84">
        <f t="shared" si="9"/>
        <v>3.75</v>
      </c>
      <c r="AB31" s="84">
        <f t="shared" si="10"/>
        <v>0.1</v>
      </c>
      <c r="AC31" s="84">
        <f t="shared" si="48"/>
        <v>20</v>
      </c>
      <c r="AD31" s="37">
        <f t="shared" si="11"/>
        <v>0</v>
      </c>
      <c r="AE31" s="192"/>
      <c r="AF31" s="85">
        <f t="shared" si="12"/>
        <v>0.19</v>
      </c>
      <c r="AG31" s="81"/>
      <c r="AH31" s="85">
        <f t="shared" si="13"/>
        <v>0.8</v>
      </c>
      <c r="AI31" s="81"/>
      <c r="AJ31" s="85">
        <f t="shared" si="14"/>
        <v>1.2</v>
      </c>
      <c r="AK31" s="81"/>
      <c r="AL31" s="85">
        <f t="shared" si="15"/>
        <v>0.1</v>
      </c>
      <c r="AM31" s="182">
        <f t="shared" si="47"/>
        <v>17</v>
      </c>
      <c r="AN31" s="85">
        <f t="shared" si="17"/>
        <v>0.18</v>
      </c>
      <c r="AO31" s="38"/>
      <c r="AP31" s="39">
        <f t="shared" si="18"/>
        <v>0.15</v>
      </c>
      <c r="AQ31" s="38"/>
      <c r="AR31" s="40">
        <f t="shared" si="19"/>
        <v>0</v>
      </c>
      <c r="AS31" s="40">
        <f t="shared" si="20"/>
        <v>0</v>
      </c>
      <c r="AT31" s="40">
        <f t="shared" si="21"/>
        <v>0</v>
      </c>
      <c r="AU31" s="40">
        <f t="shared" si="22"/>
        <v>0</v>
      </c>
      <c r="AV31" s="40">
        <f t="shared" si="23"/>
        <v>128.52000000000001</v>
      </c>
      <c r="AW31" s="40">
        <f t="shared" si="24"/>
        <v>0</v>
      </c>
      <c r="AX31" s="75">
        <f t="shared" si="25"/>
        <v>128.52000000000001</v>
      </c>
      <c r="AY31" s="75">
        <f t="shared" si="26"/>
        <v>91.770777000000024</v>
      </c>
      <c r="AZ31" s="86">
        <f t="shared" si="27"/>
        <v>0</v>
      </c>
      <c r="BA31" s="143">
        <f t="shared" si="28"/>
        <v>220.29077700000005</v>
      </c>
      <c r="BB31" s="144">
        <f t="shared" si="29"/>
        <v>44.058155400000011</v>
      </c>
      <c r="BC31" s="143">
        <f t="shared" si="30"/>
        <v>264.34893240000008</v>
      </c>
      <c r="BD31" s="87">
        <f>F31*80</f>
        <v>1360</v>
      </c>
      <c r="BE31" s="143">
        <f t="shared" si="31"/>
        <v>80</v>
      </c>
      <c r="BF31" s="88"/>
      <c r="BG31" s="89">
        <f t="shared" si="32"/>
        <v>560</v>
      </c>
      <c r="BH31" s="89">
        <f t="shared" si="33"/>
        <v>136</v>
      </c>
      <c r="BI31" s="89">
        <f t="shared" si="34"/>
        <v>700</v>
      </c>
      <c r="BJ31" s="90">
        <f t="shared" si="35"/>
        <v>0.85</v>
      </c>
      <c r="BK31" s="89">
        <f t="shared" si="36"/>
        <v>0</v>
      </c>
      <c r="BL31" s="109"/>
      <c r="BM31" s="110">
        <f t="shared" si="37"/>
        <v>696</v>
      </c>
      <c r="BN31" s="45">
        <f t="shared" si="38"/>
        <v>18</v>
      </c>
      <c r="BO31" s="45">
        <f t="shared" si="39"/>
        <v>26</v>
      </c>
      <c r="BP31" s="89">
        <f t="shared" si="40"/>
        <v>0</v>
      </c>
      <c r="BQ31" s="91"/>
      <c r="BR31" s="41">
        <f t="shared" si="41"/>
        <v>0</v>
      </c>
      <c r="BS31" s="110">
        <f t="shared" si="42"/>
        <v>696</v>
      </c>
      <c r="BT31" s="110">
        <f t="shared" si="43"/>
        <v>248.57142857142858</v>
      </c>
    </row>
    <row r="32" spans="1:72" s="92" customFormat="1" x14ac:dyDescent="0.2">
      <c r="A32" s="67"/>
      <c r="B32" s="183" t="s">
        <v>181</v>
      </c>
      <c r="C32" s="184" t="s">
        <v>123</v>
      </c>
      <c r="D32" s="174"/>
      <c r="E32" s="93" t="s">
        <v>152</v>
      </c>
      <c r="F32" s="185">
        <v>6</v>
      </c>
      <c r="G32" s="186"/>
      <c r="H32" s="82"/>
      <c r="I32" s="74">
        <f t="shared" si="49"/>
        <v>7.2</v>
      </c>
      <c r="J32" s="147"/>
      <c r="K32" s="75">
        <f t="shared" si="0"/>
        <v>43.2</v>
      </c>
      <c r="L32" s="75" t="str">
        <f t="shared" si="1"/>
        <v/>
      </c>
      <c r="M32" s="75">
        <f t="shared" si="2"/>
        <v>43.2</v>
      </c>
      <c r="N32" s="172" t="e">
        <f t="shared" si="3"/>
        <v>#DIV/0!</v>
      </c>
      <c r="O32" s="178"/>
      <c r="P32" s="179">
        <v>110</v>
      </c>
      <c r="Q32" s="177"/>
      <c r="R32" s="75">
        <f t="shared" si="4"/>
        <v>0</v>
      </c>
      <c r="S32" s="94" t="s">
        <v>239</v>
      </c>
      <c r="T32" s="180"/>
      <c r="U32" s="95"/>
      <c r="V32" s="75">
        <f t="shared" si="5"/>
        <v>0</v>
      </c>
      <c r="W32" s="75">
        <f t="shared" si="6"/>
        <v>0</v>
      </c>
      <c r="X32" s="75">
        <f t="shared" si="7"/>
        <v>0</v>
      </c>
      <c r="Y32" s="78"/>
      <c r="Z32" s="83">
        <f t="shared" si="8"/>
        <v>20</v>
      </c>
      <c r="AA32" s="84">
        <f t="shared" si="9"/>
        <v>3.75</v>
      </c>
      <c r="AB32" s="84">
        <f t="shared" si="10"/>
        <v>0.1</v>
      </c>
      <c r="AC32" s="84">
        <f t="shared" si="48"/>
        <v>20</v>
      </c>
      <c r="AD32" s="37">
        <f t="shared" si="11"/>
        <v>0</v>
      </c>
      <c r="AE32" s="192"/>
      <c r="AF32" s="85">
        <f t="shared" si="12"/>
        <v>0.19</v>
      </c>
      <c r="AG32" s="81"/>
      <c r="AH32" s="85">
        <f t="shared" si="13"/>
        <v>0.8</v>
      </c>
      <c r="AI32" s="81"/>
      <c r="AJ32" s="85">
        <f t="shared" si="14"/>
        <v>1.2</v>
      </c>
      <c r="AK32" s="81"/>
      <c r="AL32" s="85">
        <f t="shared" si="15"/>
        <v>0.1</v>
      </c>
      <c r="AM32" s="182">
        <f t="shared" si="47"/>
        <v>6</v>
      </c>
      <c r="AN32" s="85">
        <f t="shared" si="17"/>
        <v>0.18</v>
      </c>
      <c r="AO32" s="38"/>
      <c r="AP32" s="39">
        <f t="shared" si="18"/>
        <v>0.15</v>
      </c>
      <c r="AQ32" s="38"/>
      <c r="AR32" s="40">
        <f t="shared" si="19"/>
        <v>0</v>
      </c>
      <c r="AS32" s="40">
        <f t="shared" si="20"/>
        <v>0</v>
      </c>
      <c r="AT32" s="40">
        <f t="shared" si="21"/>
        <v>0</v>
      </c>
      <c r="AU32" s="40">
        <f t="shared" si="22"/>
        <v>0</v>
      </c>
      <c r="AV32" s="40">
        <f t="shared" si="23"/>
        <v>45.36</v>
      </c>
      <c r="AW32" s="40">
        <f t="shared" si="24"/>
        <v>0</v>
      </c>
      <c r="AX32" s="75">
        <f t="shared" si="25"/>
        <v>45.36</v>
      </c>
      <c r="AY32" s="75">
        <f t="shared" si="26"/>
        <v>32.389686000000005</v>
      </c>
      <c r="AZ32" s="86">
        <f t="shared" si="27"/>
        <v>0</v>
      </c>
      <c r="BA32" s="143">
        <f t="shared" si="28"/>
        <v>77.749685999999997</v>
      </c>
      <c r="BB32" s="144">
        <f t="shared" si="29"/>
        <v>15.5499372</v>
      </c>
      <c r="BC32" s="143">
        <f t="shared" si="30"/>
        <v>93.299623199999999</v>
      </c>
      <c r="BD32" s="87">
        <v>240</v>
      </c>
      <c r="BE32" s="143">
        <f t="shared" si="31"/>
        <v>40</v>
      </c>
      <c r="BF32" s="88"/>
      <c r="BG32" s="89">
        <f t="shared" si="32"/>
        <v>0</v>
      </c>
      <c r="BH32" s="89">
        <f t="shared" si="33"/>
        <v>48</v>
      </c>
      <c r="BI32" s="89">
        <f t="shared" si="34"/>
        <v>700</v>
      </c>
      <c r="BJ32" s="90">
        <f t="shared" si="35"/>
        <v>0.85</v>
      </c>
      <c r="BK32" s="89">
        <f t="shared" si="36"/>
        <v>0</v>
      </c>
      <c r="BL32" s="109"/>
      <c r="BM32" s="110">
        <f t="shared" si="37"/>
        <v>48</v>
      </c>
      <c r="BN32" s="45">
        <f t="shared" si="38"/>
        <v>18</v>
      </c>
      <c r="BO32" s="45">
        <f t="shared" si="39"/>
        <v>26</v>
      </c>
      <c r="BP32" s="89">
        <f t="shared" si="40"/>
        <v>0</v>
      </c>
      <c r="BQ32" s="91"/>
      <c r="BR32" s="41">
        <f t="shared" si="41"/>
        <v>0</v>
      </c>
      <c r="BS32" s="110">
        <f t="shared" si="42"/>
        <v>48</v>
      </c>
      <c r="BT32" s="110">
        <f t="shared" si="43"/>
        <v>17.142857142857142</v>
      </c>
    </row>
    <row r="33" spans="1:72" s="92" customFormat="1" x14ac:dyDescent="0.2">
      <c r="A33" s="67"/>
      <c r="B33" s="236" t="s">
        <v>179</v>
      </c>
      <c r="C33" s="184" t="s">
        <v>122</v>
      </c>
      <c r="D33" s="174"/>
      <c r="E33" s="35" t="s">
        <v>152</v>
      </c>
      <c r="F33" s="185">
        <v>21</v>
      </c>
      <c r="G33" s="186"/>
      <c r="H33" s="82"/>
      <c r="I33" s="74">
        <f t="shared" si="49"/>
        <v>7.2</v>
      </c>
      <c r="J33" s="147">
        <f>$J$7</f>
        <v>26</v>
      </c>
      <c r="K33" s="75">
        <f t="shared" si="0"/>
        <v>151.20000000000002</v>
      </c>
      <c r="L33" s="75" t="str">
        <f t="shared" si="1"/>
        <v/>
      </c>
      <c r="M33" s="75">
        <f t="shared" si="2"/>
        <v>151.20000000000002</v>
      </c>
      <c r="N33" s="172">
        <f t="shared" si="3"/>
        <v>0.77432835820895518</v>
      </c>
      <c r="O33" s="178">
        <v>670</v>
      </c>
      <c r="P33" s="179"/>
      <c r="Q33" s="177"/>
      <c r="R33" s="75">
        <f t="shared" si="4"/>
        <v>31.904761904761905</v>
      </c>
      <c r="S33" s="94" t="s">
        <v>239</v>
      </c>
      <c r="T33" s="180" t="s">
        <v>154</v>
      </c>
      <c r="U33" s="36"/>
      <c r="V33" s="75">
        <f t="shared" si="5"/>
        <v>670</v>
      </c>
      <c r="W33" s="75">
        <f t="shared" si="6"/>
        <v>335</v>
      </c>
      <c r="X33" s="75">
        <f t="shared" si="7"/>
        <v>100.5</v>
      </c>
      <c r="Y33" s="78"/>
      <c r="Z33" s="83">
        <f t="shared" si="8"/>
        <v>20</v>
      </c>
      <c r="AA33" s="84">
        <f t="shared" si="9"/>
        <v>3.75</v>
      </c>
      <c r="AB33" s="84">
        <f t="shared" si="10"/>
        <v>0.1</v>
      </c>
      <c r="AC33" s="84">
        <f t="shared" si="48"/>
        <v>20</v>
      </c>
      <c r="AD33" s="37">
        <f t="shared" si="11"/>
        <v>670</v>
      </c>
      <c r="AE33" s="192"/>
      <c r="AF33" s="85">
        <f t="shared" si="12"/>
        <v>0.19</v>
      </c>
      <c r="AG33" s="81"/>
      <c r="AH33" s="85">
        <f t="shared" si="13"/>
        <v>0.8</v>
      </c>
      <c r="AI33" s="81"/>
      <c r="AJ33" s="85">
        <f t="shared" si="14"/>
        <v>1.2</v>
      </c>
      <c r="AK33" s="81"/>
      <c r="AL33" s="85">
        <f t="shared" si="15"/>
        <v>0.1</v>
      </c>
      <c r="AM33" s="182">
        <f t="shared" si="47"/>
        <v>21</v>
      </c>
      <c r="AN33" s="85">
        <f t="shared" si="17"/>
        <v>0.18</v>
      </c>
      <c r="AO33" s="38"/>
      <c r="AP33" s="39">
        <f t="shared" si="18"/>
        <v>0.15</v>
      </c>
      <c r="AQ33" s="38"/>
      <c r="AR33" s="40">
        <f t="shared" si="19"/>
        <v>0</v>
      </c>
      <c r="AS33" s="40">
        <f t="shared" si="20"/>
        <v>0</v>
      </c>
      <c r="AT33" s="40">
        <f t="shared" si="21"/>
        <v>0</v>
      </c>
      <c r="AU33" s="40">
        <f t="shared" si="22"/>
        <v>0</v>
      </c>
      <c r="AV33" s="40">
        <f t="shared" si="23"/>
        <v>158.76</v>
      </c>
      <c r="AW33" s="40">
        <f t="shared" si="24"/>
        <v>0</v>
      </c>
      <c r="AX33" s="75">
        <f t="shared" si="25"/>
        <v>158.76</v>
      </c>
      <c r="AY33" s="75">
        <f t="shared" si="26"/>
        <v>113.36390100000004</v>
      </c>
      <c r="AZ33" s="86">
        <f t="shared" si="27"/>
        <v>0</v>
      </c>
      <c r="BA33" s="143">
        <f t="shared" si="28"/>
        <v>272.12390100000005</v>
      </c>
      <c r="BB33" s="144">
        <f t="shared" si="29"/>
        <v>54.424780200000015</v>
      </c>
      <c r="BC33" s="143">
        <f t="shared" si="30"/>
        <v>326.54868120000003</v>
      </c>
      <c r="BD33" s="87">
        <f>F33*50</f>
        <v>1050</v>
      </c>
      <c r="BE33" s="143">
        <f t="shared" si="31"/>
        <v>50</v>
      </c>
      <c r="BF33" s="88"/>
      <c r="BG33" s="89">
        <f t="shared" si="32"/>
        <v>0</v>
      </c>
      <c r="BH33" s="89">
        <f t="shared" si="33"/>
        <v>168</v>
      </c>
      <c r="BI33" s="89">
        <f t="shared" si="34"/>
        <v>700</v>
      </c>
      <c r="BJ33" s="90">
        <f t="shared" si="35"/>
        <v>0.85</v>
      </c>
      <c r="BK33" s="89">
        <f t="shared" si="36"/>
        <v>0</v>
      </c>
      <c r="BL33" s="109"/>
      <c r="BM33" s="110">
        <f t="shared" si="37"/>
        <v>168</v>
      </c>
      <c r="BN33" s="45">
        <f t="shared" si="38"/>
        <v>18</v>
      </c>
      <c r="BO33" s="45">
        <f t="shared" si="39"/>
        <v>26</v>
      </c>
      <c r="BP33" s="89">
        <f t="shared" si="40"/>
        <v>1875.9999999999998</v>
      </c>
      <c r="BQ33" s="91"/>
      <c r="BR33" s="41">
        <f t="shared" si="41"/>
        <v>1875.9999999999998</v>
      </c>
      <c r="BS33" s="110">
        <f t="shared" si="42"/>
        <v>-1707.9999999999998</v>
      </c>
      <c r="BT33" s="110" t="str">
        <f t="shared" si="43"/>
        <v/>
      </c>
    </row>
    <row r="34" spans="1:72" s="92" customFormat="1" x14ac:dyDescent="0.2">
      <c r="A34" s="67"/>
      <c r="B34" s="183" t="s">
        <v>183</v>
      </c>
      <c r="C34" s="184" t="s">
        <v>121</v>
      </c>
      <c r="D34" s="174"/>
      <c r="E34" s="35" t="s">
        <v>152</v>
      </c>
      <c r="F34" s="185">
        <v>16.8</v>
      </c>
      <c r="G34" s="186">
        <v>7</v>
      </c>
      <c r="H34" s="82"/>
      <c r="I34" s="74">
        <f t="shared" si="49"/>
        <v>7.2</v>
      </c>
      <c r="J34" s="147">
        <v>26</v>
      </c>
      <c r="K34" s="75">
        <f t="shared" si="0"/>
        <v>120.96000000000001</v>
      </c>
      <c r="L34" s="75">
        <f t="shared" si="1"/>
        <v>182</v>
      </c>
      <c r="M34" s="75">
        <f t="shared" si="2"/>
        <v>302.96000000000004</v>
      </c>
      <c r="N34" s="172" t="e">
        <f t="shared" si="3"/>
        <v>#DIV/0!</v>
      </c>
      <c r="O34" s="178"/>
      <c r="P34" s="179">
        <v>560</v>
      </c>
      <c r="Q34" s="177"/>
      <c r="R34" s="75">
        <f t="shared" si="4"/>
        <v>0</v>
      </c>
      <c r="S34" s="94" t="s">
        <v>239</v>
      </c>
      <c r="T34" s="180" t="s">
        <v>154</v>
      </c>
      <c r="U34" s="36"/>
      <c r="V34" s="75">
        <f t="shared" si="5"/>
        <v>0</v>
      </c>
      <c r="W34" s="75">
        <f t="shared" si="6"/>
        <v>0</v>
      </c>
      <c r="X34" s="75">
        <f t="shared" si="7"/>
        <v>0</v>
      </c>
      <c r="Y34" s="78"/>
      <c r="Z34" s="83">
        <f t="shared" si="8"/>
        <v>20</v>
      </c>
      <c r="AA34" s="84">
        <f t="shared" si="9"/>
        <v>3.75</v>
      </c>
      <c r="AB34" s="84">
        <f t="shared" si="10"/>
        <v>0.1</v>
      </c>
      <c r="AC34" s="84">
        <f t="shared" si="48"/>
        <v>20</v>
      </c>
      <c r="AD34" s="37">
        <f t="shared" si="11"/>
        <v>0</v>
      </c>
      <c r="AE34" s="191"/>
      <c r="AF34" s="85">
        <f t="shared" si="12"/>
        <v>0.19</v>
      </c>
      <c r="AG34" s="81"/>
      <c r="AH34" s="85">
        <f t="shared" si="13"/>
        <v>0.8</v>
      </c>
      <c r="AI34" s="81"/>
      <c r="AJ34" s="85">
        <f t="shared" si="14"/>
        <v>1.2</v>
      </c>
      <c r="AK34" s="81"/>
      <c r="AL34" s="85">
        <f t="shared" si="15"/>
        <v>0.1</v>
      </c>
      <c r="AM34" s="182">
        <f t="shared" si="47"/>
        <v>16.8</v>
      </c>
      <c r="AN34" s="85">
        <f t="shared" si="17"/>
        <v>0.18</v>
      </c>
      <c r="AO34" s="38"/>
      <c r="AP34" s="39">
        <f t="shared" si="18"/>
        <v>0.15</v>
      </c>
      <c r="AQ34" s="38"/>
      <c r="AR34" s="40">
        <f t="shared" si="19"/>
        <v>0</v>
      </c>
      <c r="AS34" s="40">
        <f t="shared" si="20"/>
        <v>0</v>
      </c>
      <c r="AT34" s="40">
        <f t="shared" si="21"/>
        <v>0</v>
      </c>
      <c r="AU34" s="40">
        <f t="shared" si="22"/>
        <v>0</v>
      </c>
      <c r="AV34" s="40">
        <f t="shared" si="23"/>
        <v>127.008</v>
      </c>
      <c r="AW34" s="40">
        <f t="shared" si="24"/>
        <v>0</v>
      </c>
      <c r="AX34" s="75">
        <f t="shared" si="25"/>
        <v>127.008</v>
      </c>
      <c r="AY34" s="75">
        <f t="shared" si="26"/>
        <v>90.691120800000022</v>
      </c>
      <c r="AZ34" s="86">
        <f t="shared" si="27"/>
        <v>0</v>
      </c>
      <c r="BA34" s="143">
        <f t="shared" si="28"/>
        <v>217.6991208</v>
      </c>
      <c r="BB34" s="144">
        <f t="shared" si="29"/>
        <v>43.539824160000002</v>
      </c>
      <c r="BC34" s="143">
        <f t="shared" si="30"/>
        <v>261.23894496000003</v>
      </c>
      <c r="BD34" s="87">
        <f>F34*80</f>
        <v>1344</v>
      </c>
      <c r="BE34" s="143">
        <f t="shared" si="31"/>
        <v>80</v>
      </c>
      <c r="BF34" s="88"/>
      <c r="BG34" s="89">
        <f t="shared" si="32"/>
        <v>560</v>
      </c>
      <c r="BH34" s="89">
        <f t="shared" si="33"/>
        <v>134.4</v>
      </c>
      <c r="BI34" s="89">
        <f t="shared" si="34"/>
        <v>700</v>
      </c>
      <c r="BJ34" s="90">
        <f t="shared" si="35"/>
        <v>0.85</v>
      </c>
      <c r="BK34" s="89">
        <f t="shared" si="36"/>
        <v>0</v>
      </c>
      <c r="BL34" s="109"/>
      <c r="BM34" s="110">
        <f t="shared" si="37"/>
        <v>694.4</v>
      </c>
      <c r="BN34" s="45">
        <f t="shared" si="38"/>
        <v>18</v>
      </c>
      <c r="BO34" s="45">
        <f t="shared" si="39"/>
        <v>26</v>
      </c>
      <c r="BP34" s="89">
        <f t="shared" si="40"/>
        <v>0</v>
      </c>
      <c r="BQ34" s="91"/>
      <c r="BR34" s="41">
        <f t="shared" si="41"/>
        <v>0</v>
      </c>
      <c r="BS34" s="110">
        <f t="shared" si="42"/>
        <v>694.4</v>
      </c>
      <c r="BT34" s="110">
        <f t="shared" si="43"/>
        <v>248</v>
      </c>
    </row>
    <row r="35" spans="1:72" s="92" customFormat="1" x14ac:dyDescent="0.2">
      <c r="A35" s="67"/>
      <c r="B35" s="236" t="s">
        <v>180</v>
      </c>
      <c r="C35" s="184" t="s">
        <v>123</v>
      </c>
      <c r="D35" s="174"/>
      <c r="E35" s="93" t="s">
        <v>152</v>
      </c>
      <c r="F35" s="185">
        <v>6</v>
      </c>
      <c r="G35" s="186"/>
      <c r="H35" s="82"/>
      <c r="I35" s="74">
        <f t="shared" si="49"/>
        <v>7.2</v>
      </c>
      <c r="J35" s="147"/>
      <c r="K35" s="75">
        <f t="shared" si="0"/>
        <v>43.2</v>
      </c>
      <c r="L35" s="75" t="str">
        <f t="shared" si="1"/>
        <v/>
      </c>
      <c r="M35" s="75">
        <f t="shared" si="2"/>
        <v>43.2</v>
      </c>
      <c r="N35" s="172" t="e">
        <f t="shared" si="3"/>
        <v>#DIV/0!</v>
      </c>
      <c r="O35" s="178"/>
      <c r="P35" s="179">
        <v>110</v>
      </c>
      <c r="Q35" s="177"/>
      <c r="R35" s="75">
        <f t="shared" si="4"/>
        <v>0</v>
      </c>
      <c r="S35" s="94" t="s">
        <v>239</v>
      </c>
      <c r="T35" s="180"/>
      <c r="U35" s="95"/>
      <c r="V35" s="75">
        <f t="shared" si="5"/>
        <v>0</v>
      </c>
      <c r="W35" s="75">
        <f t="shared" si="6"/>
        <v>0</v>
      </c>
      <c r="X35" s="75">
        <f t="shared" si="7"/>
        <v>0</v>
      </c>
      <c r="Y35" s="78"/>
      <c r="Z35" s="83">
        <f t="shared" si="8"/>
        <v>20</v>
      </c>
      <c r="AA35" s="84">
        <f t="shared" si="9"/>
        <v>3.75</v>
      </c>
      <c r="AB35" s="84">
        <f t="shared" si="10"/>
        <v>0.1</v>
      </c>
      <c r="AC35" s="84">
        <f t="shared" si="48"/>
        <v>20</v>
      </c>
      <c r="AD35" s="37">
        <f t="shared" si="11"/>
        <v>0</v>
      </c>
      <c r="AE35" s="192"/>
      <c r="AF35" s="85">
        <f t="shared" si="12"/>
        <v>0.19</v>
      </c>
      <c r="AG35" s="81"/>
      <c r="AH35" s="85">
        <f t="shared" si="13"/>
        <v>0.8</v>
      </c>
      <c r="AI35" s="81"/>
      <c r="AJ35" s="85">
        <f t="shared" si="14"/>
        <v>1.2</v>
      </c>
      <c r="AK35" s="81"/>
      <c r="AL35" s="85">
        <f t="shared" si="15"/>
        <v>0.1</v>
      </c>
      <c r="AM35" s="182">
        <f t="shared" si="47"/>
        <v>6</v>
      </c>
      <c r="AN35" s="85">
        <f t="shared" si="17"/>
        <v>0.18</v>
      </c>
      <c r="AO35" s="38"/>
      <c r="AP35" s="39">
        <f t="shared" si="18"/>
        <v>0.15</v>
      </c>
      <c r="AQ35" s="38"/>
      <c r="AR35" s="40">
        <f t="shared" si="19"/>
        <v>0</v>
      </c>
      <c r="AS35" s="40">
        <f t="shared" si="20"/>
        <v>0</v>
      </c>
      <c r="AT35" s="40">
        <f t="shared" si="21"/>
        <v>0</v>
      </c>
      <c r="AU35" s="40">
        <f t="shared" si="22"/>
        <v>0</v>
      </c>
      <c r="AV35" s="40">
        <f t="shared" si="23"/>
        <v>45.36</v>
      </c>
      <c r="AW35" s="40">
        <f t="shared" si="24"/>
        <v>0</v>
      </c>
      <c r="AX35" s="75">
        <f t="shared" si="25"/>
        <v>45.36</v>
      </c>
      <c r="AY35" s="75">
        <f t="shared" si="26"/>
        <v>32.389686000000005</v>
      </c>
      <c r="AZ35" s="86">
        <f t="shared" si="27"/>
        <v>0</v>
      </c>
      <c r="BA35" s="143">
        <f t="shared" si="28"/>
        <v>77.749685999999997</v>
      </c>
      <c r="BB35" s="144">
        <f t="shared" si="29"/>
        <v>15.5499372</v>
      </c>
      <c r="BC35" s="143">
        <f t="shared" si="30"/>
        <v>93.299623199999999</v>
      </c>
      <c r="BD35" s="87">
        <v>195</v>
      </c>
      <c r="BE35" s="143">
        <f t="shared" si="31"/>
        <v>32.5</v>
      </c>
      <c r="BF35" s="88"/>
      <c r="BG35" s="89">
        <f t="shared" si="32"/>
        <v>0</v>
      </c>
      <c r="BH35" s="89">
        <f t="shared" si="33"/>
        <v>48</v>
      </c>
      <c r="BI35" s="89">
        <f t="shared" si="34"/>
        <v>700</v>
      </c>
      <c r="BJ35" s="90">
        <f t="shared" si="35"/>
        <v>0.85</v>
      </c>
      <c r="BK35" s="89">
        <f t="shared" si="36"/>
        <v>0</v>
      </c>
      <c r="BL35" s="109"/>
      <c r="BM35" s="110">
        <f t="shared" si="37"/>
        <v>48</v>
      </c>
      <c r="BN35" s="45">
        <f t="shared" si="38"/>
        <v>18</v>
      </c>
      <c r="BO35" s="45">
        <f t="shared" si="39"/>
        <v>26</v>
      </c>
      <c r="BP35" s="89">
        <f t="shared" si="40"/>
        <v>0</v>
      </c>
      <c r="BQ35" s="91"/>
      <c r="BR35" s="41">
        <f t="shared" si="41"/>
        <v>0</v>
      </c>
      <c r="BS35" s="110">
        <f t="shared" si="42"/>
        <v>48</v>
      </c>
      <c r="BT35" s="110">
        <f t="shared" si="43"/>
        <v>17.142857142857142</v>
      </c>
    </row>
    <row r="36" spans="1:72" s="243" customFormat="1" x14ac:dyDescent="0.2">
      <c r="B36" s="244" t="s">
        <v>180</v>
      </c>
      <c r="C36" s="245" t="s">
        <v>123</v>
      </c>
      <c r="D36" s="246"/>
      <c r="E36" s="247" t="s">
        <v>152</v>
      </c>
      <c r="F36" s="248">
        <v>6.5</v>
      </c>
      <c r="G36" s="249"/>
      <c r="H36" s="250"/>
      <c r="I36" s="251">
        <f t="shared" si="49"/>
        <v>7.2</v>
      </c>
      <c r="J36" s="252"/>
      <c r="K36" s="253">
        <f t="shared" si="0"/>
        <v>46.800000000000004</v>
      </c>
      <c r="L36" s="253" t="str">
        <f t="shared" si="1"/>
        <v/>
      </c>
      <c r="M36" s="253">
        <f t="shared" si="2"/>
        <v>46.800000000000004</v>
      </c>
      <c r="N36" s="254" t="e">
        <f t="shared" si="3"/>
        <v>#DIV/0!</v>
      </c>
      <c r="O36" s="255"/>
      <c r="P36" s="255">
        <v>110</v>
      </c>
      <c r="Q36" s="255"/>
      <c r="R36" s="253">
        <f t="shared" si="4"/>
        <v>0</v>
      </c>
      <c r="S36" s="256" t="s">
        <v>239</v>
      </c>
      <c r="T36" s="257"/>
      <c r="U36" s="256"/>
      <c r="V36" s="253">
        <f t="shared" si="5"/>
        <v>0</v>
      </c>
      <c r="W36" s="253">
        <f t="shared" si="6"/>
        <v>0</v>
      </c>
      <c r="X36" s="253">
        <f t="shared" si="7"/>
        <v>0</v>
      </c>
      <c r="Y36" s="258"/>
      <c r="Z36" s="259">
        <f t="shared" si="8"/>
        <v>20</v>
      </c>
      <c r="AA36" s="260">
        <f t="shared" si="9"/>
        <v>3.75</v>
      </c>
      <c r="AB36" s="260">
        <f t="shared" si="10"/>
        <v>0.1</v>
      </c>
      <c r="AC36" s="260">
        <f t="shared" si="48"/>
        <v>20</v>
      </c>
      <c r="AD36" s="261">
        <f t="shared" si="11"/>
        <v>0</v>
      </c>
      <c r="AE36" s="262"/>
      <c r="AF36" s="263">
        <f t="shared" si="12"/>
        <v>0.19</v>
      </c>
      <c r="AG36" s="259"/>
      <c r="AH36" s="263">
        <f t="shared" si="13"/>
        <v>0.8</v>
      </c>
      <c r="AI36" s="259"/>
      <c r="AJ36" s="263">
        <f t="shared" si="14"/>
        <v>1.2</v>
      </c>
      <c r="AK36" s="259"/>
      <c r="AL36" s="263">
        <f t="shared" si="15"/>
        <v>0.1</v>
      </c>
      <c r="AM36" s="264">
        <f t="shared" si="47"/>
        <v>6.5</v>
      </c>
      <c r="AN36" s="263">
        <f t="shared" si="17"/>
        <v>0.18</v>
      </c>
      <c r="AO36" s="265"/>
      <c r="AP36" s="266">
        <f t="shared" si="18"/>
        <v>0.15</v>
      </c>
      <c r="AQ36" s="265"/>
      <c r="AR36" s="267">
        <f t="shared" si="19"/>
        <v>0</v>
      </c>
      <c r="AS36" s="267">
        <f t="shared" si="20"/>
        <v>0</v>
      </c>
      <c r="AT36" s="267">
        <f t="shared" si="21"/>
        <v>0</v>
      </c>
      <c r="AU36" s="267">
        <f t="shared" si="22"/>
        <v>0</v>
      </c>
      <c r="AV36" s="267">
        <f t="shared" si="23"/>
        <v>49.14</v>
      </c>
      <c r="AW36" s="267">
        <f t="shared" si="24"/>
        <v>0</v>
      </c>
      <c r="AX36" s="253">
        <f t="shared" si="25"/>
        <v>49.14</v>
      </c>
      <c r="AY36" s="253">
        <f t="shared" si="26"/>
        <v>35.08882650000001</v>
      </c>
      <c r="AZ36" s="268">
        <f t="shared" si="27"/>
        <v>0</v>
      </c>
      <c r="BA36" s="269">
        <f t="shared" si="28"/>
        <v>84.228826500000011</v>
      </c>
      <c r="BB36" s="270">
        <f t="shared" si="29"/>
        <v>16.845765300000004</v>
      </c>
      <c r="BC36" s="269">
        <f t="shared" si="30"/>
        <v>101.07459180000001</v>
      </c>
      <c r="BD36" s="271">
        <v>195</v>
      </c>
      <c r="BE36" s="269">
        <f t="shared" si="31"/>
        <v>30</v>
      </c>
      <c r="BF36" s="272"/>
      <c r="BG36" s="273">
        <f t="shared" si="32"/>
        <v>0</v>
      </c>
      <c r="BH36" s="273">
        <f t="shared" si="33"/>
        <v>52</v>
      </c>
      <c r="BI36" s="273">
        <f t="shared" si="34"/>
        <v>700</v>
      </c>
      <c r="BJ36" s="274">
        <f t="shared" si="35"/>
        <v>0.85</v>
      </c>
      <c r="BK36" s="273">
        <f t="shared" si="36"/>
        <v>0</v>
      </c>
      <c r="BL36" s="269"/>
      <c r="BM36" s="275">
        <f t="shared" si="37"/>
        <v>52</v>
      </c>
      <c r="BN36" s="276">
        <f t="shared" si="38"/>
        <v>18</v>
      </c>
      <c r="BO36" s="276">
        <f t="shared" si="39"/>
        <v>26</v>
      </c>
      <c r="BP36" s="273">
        <f t="shared" si="40"/>
        <v>0</v>
      </c>
      <c r="BQ36" s="273"/>
      <c r="BR36" s="277">
        <f t="shared" si="41"/>
        <v>0</v>
      </c>
      <c r="BS36" s="275">
        <f t="shared" si="42"/>
        <v>52</v>
      </c>
      <c r="BT36" s="275">
        <f t="shared" si="43"/>
        <v>18.571428571428573</v>
      </c>
    </row>
    <row r="37" spans="1:72" s="92" customFormat="1" x14ac:dyDescent="0.2">
      <c r="B37" s="236" t="s">
        <v>178</v>
      </c>
      <c r="C37" s="184" t="s">
        <v>122</v>
      </c>
      <c r="D37" s="174"/>
      <c r="E37" s="93" t="s">
        <v>152</v>
      </c>
      <c r="F37" s="185">
        <v>22.8</v>
      </c>
      <c r="G37" s="186"/>
      <c r="H37" s="82"/>
      <c r="I37" s="74">
        <f t="shared" si="49"/>
        <v>7.2</v>
      </c>
      <c r="J37" s="147">
        <f>$J$7</f>
        <v>26</v>
      </c>
      <c r="K37" s="75">
        <f t="shared" si="0"/>
        <v>164.16</v>
      </c>
      <c r="L37" s="75" t="str">
        <f t="shared" si="1"/>
        <v/>
      </c>
      <c r="M37" s="75">
        <f t="shared" si="2"/>
        <v>164.16</v>
      </c>
      <c r="N37" s="172">
        <f t="shared" si="3"/>
        <v>0.7549850746268657</v>
      </c>
      <c r="O37" s="178">
        <v>670</v>
      </c>
      <c r="P37" s="179"/>
      <c r="Q37" s="177"/>
      <c r="R37" s="75">
        <f t="shared" si="4"/>
        <v>29.385964912280702</v>
      </c>
      <c r="S37" s="94" t="s">
        <v>239</v>
      </c>
      <c r="T37" s="180" t="s">
        <v>154</v>
      </c>
      <c r="U37" s="95"/>
      <c r="V37" s="75">
        <f t="shared" si="5"/>
        <v>670</v>
      </c>
      <c r="W37" s="75">
        <f t="shared" si="6"/>
        <v>335</v>
      </c>
      <c r="X37" s="75">
        <f t="shared" si="7"/>
        <v>100.5</v>
      </c>
      <c r="Y37" s="78"/>
      <c r="Z37" s="83">
        <f t="shared" si="8"/>
        <v>20</v>
      </c>
      <c r="AA37" s="84">
        <f t="shared" si="9"/>
        <v>3.75</v>
      </c>
      <c r="AB37" s="84">
        <f t="shared" si="10"/>
        <v>0.1</v>
      </c>
      <c r="AC37" s="84">
        <f t="shared" si="48"/>
        <v>20</v>
      </c>
      <c r="AD37" s="37">
        <f t="shared" si="11"/>
        <v>670</v>
      </c>
      <c r="AE37" s="192"/>
      <c r="AF37" s="85">
        <f t="shared" si="12"/>
        <v>0.19</v>
      </c>
      <c r="AG37" s="81"/>
      <c r="AH37" s="85">
        <f t="shared" si="13"/>
        <v>0.8</v>
      </c>
      <c r="AI37" s="81"/>
      <c r="AJ37" s="85">
        <f t="shared" si="14"/>
        <v>1.2</v>
      </c>
      <c r="AK37" s="81"/>
      <c r="AL37" s="85">
        <f t="shared" si="15"/>
        <v>0.1</v>
      </c>
      <c r="AM37" s="182">
        <f t="shared" si="47"/>
        <v>22.8</v>
      </c>
      <c r="AN37" s="85">
        <f t="shared" si="17"/>
        <v>0.18</v>
      </c>
      <c r="AO37" s="38"/>
      <c r="AP37" s="39">
        <f t="shared" si="18"/>
        <v>0.15</v>
      </c>
      <c r="AQ37" s="38"/>
      <c r="AR37" s="40">
        <f t="shared" si="19"/>
        <v>0</v>
      </c>
      <c r="AS37" s="40">
        <f t="shared" si="20"/>
        <v>0</v>
      </c>
      <c r="AT37" s="40">
        <f t="shared" si="21"/>
        <v>0</v>
      </c>
      <c r="AU37" s="40">
        <f t="shared" si="22"/>
        <v>0</v>
      </c>
      <c r="AV37" s="40">
        <f t="shared" si="23"/>
        <v>172.36799999999999</v>
      </c>
      <c r="AW37" s="40">
        <f t="shared" si="24"/>
        <v>0</v>
      </c>
      <c r="AX37" s="75">
        <f t="shared" si="25"/>
        <v>172.36799999999999</v>
      </c>
      <c r="AY37" s="75">
        <f t="shared" si="26"/>
        <v>123.08080680000002</v>
      </c>
      <c r="AZ37" s="86">
        <f t="shared" si="27"/>
        <v>0</v>
      </c>
      <c r="BA37" s="143">
        <f t="shared" si="28"/>
        <v>295.4488068</v>
      </c>
      <c r="BB37" s="144">
        <f t="shared" si="29"/>
        <v>59.089761360000004</v>
      </c>
      <c r="BC37" s="143">
        <f t="shared" si="30"/>
        <v>354.53856816000001</v>
      </c>
      <c r="BD37" s="87">
        <f>F37*50</f>
        <v>1140</v>
      </c>
      <c r="BE37" s="143">
        <f t="shared" si="31"/>
        <v>50</v>
      </c>
      <c r="BF37" s="88"/>
      <c r="BG37" s="89">
        <f t="shared" si="32"/>
        <v>0</v>
      </c>
      <c r="BH37" s="89">
        <f t="shared" si="33"/>
        <v>182.4</v>
      </c>
      <c r="BI37" s="89">
        <f t="shared" si="34"/>
        <v>700</v>
      </c>
      <c r="BJ37" s="90">
        <f t="shared" si="35"/>
        <v>0.85</v>
      </c>
      <c r="BK37" s="89">
        <f t="shared" si="36"/>
        <v>0</v>
      </c>
      <c r="BL37" s="109"/>
      <c r="BM37" s="110">
        <f t="shared" si="37"/>
        <v>182.4</v>
      </c>
      <c r="BN37" s="45">
        <f t="shared" si="38"/>
        <v>18</v>
      </c>
      <c r="BO37" s="45">
        <f t="shared" si="39"/>
        <v>26</v>
      </c>
      <c r="BP37" s="89">
        <f t="shared" si="40"/>
        <v>1875.9999999999998</v>
      </c>
      <c r="BQ37" s="91"/>
      <c r="BR37" s="41">
        <f t="shared" si="41"/>
        <v>1875.9999999999998</v>
      </c>
      <c r="BS37" s="110">
        <f t="shared" si="42"/>
        <v>-1693.5999999999997</v>
      </c>
      <c r="BT37" s="110" t="str">
        <f t="shared" si="43"/>
        <v/>
      </c>
    </row>
    <row r="38" spans="1:72" s="92" customFormat="1" x14ac:dyDescent="0.2">
      <c r="B38" s="183" t="s">
        <v>177</v>
      </c>
      <c r="C38" s="184" t="s">
        <v>121</v>
      </c>
      <c r="D38" s="174"/>
      <c r="E38" s="35" t="s">
        <v>152</v>
      </c>
      <c r="F38" s="185">
        <v>15.6</v>
      </c>
      <c r="G38" s="186">
        <v>7</v>
      </c>
      <c r="H38" s="82"/>
      <c r="I38" s="74">
        <f t="shared" si="49"/>
        <v>7.2</v>
      </c>
      <c r="J38" s="147">
        <v>80</v>
      </c>
      <c r="K38" s="75">
        <f t="shared" si="0"/>
        <v>112.32</v>
      </c>
      <c r="L38" s="75">
        <f t="shared" si="1"/>
        <v>560</v>
      </c>
      <c r="M38" s="75">
        <f t="shared" si="2"/>
        <v>672.31999999999994</v>
      </c>
      <c r="N38" s="172" t="e">
        <f t="shared" si="3"/>
        <v>#DIV/0!</v>
      </c>
      <c r="O38" s="178"/>
      <c r="P38" s="179">
        <v>560</v>
      </c>
      <c r="Q38" s="177"/>
      <c r="R38" s="75">
        <f t="shared" si="4"/>
        <v>0</v>
      </c>
      <c r="S38" s="94" t="s">
        <v>239</v>
      </c>
      <c r="T38" s="180" t="s">
        <v>154</v>
      </c>
      <c r="U38" s="95"/>
      <c r="V38" s="75">
        <f t="shared" si="5"/>
        <v>0</v>
      </c>
      <c r="W38" s="75">
        <f t="shared" si="6"/>
        <v>0</v>
      </c>
      <c r="X38" s="75">
        <f t="shared" si="7"/>
        <v>0</v>
      </c>
      <c r="Y38" s="78"/>
      <c r="Z38" s="83">
        <f t="shared" si="8"/>
        <v>20</v>
      </c>
      <c r="AA38" s="84">
        <f t="shared" si="9"/>
        <v>3.75</v>
      </c>
      <c r="AB38" s="84">
        <f t="shared" si="10"/>
        <v>0.1</v>
      </c>
      <c r="AC38" s="84">
        <f t="shared" si="48"/>
        <v>20</v>
      </c>
      <c r="AD38" s="37">
        <f t="shared" si="11"/>
        <v>0</v>
      </c>
      <c r="AE38" s="192"/>
      <c r="AF38" s="85">
        <f t="shared" si="12"/>
        <v>0.19</v>
      </c>
      <c r="AG38" s="81"/>
      <c r="AH38" s="85">
        <f t="shared" si="13"/>
        <v>0.8</v>
      </c>
      <c r="AI38" s="81"/>
      <c r="AJ38" s="85">
        <f t="shared" si="14"/>
        <v>1.2</v>
      </c>
      <c r="AK38" s="81"/>
      <c r="AL38" s="85">
        <f t="shared" si="15"/>
        <v>0.1</v>
      </c>
      <c r="AM38" s="182">
        <f t="shared" si="47"/>
        <v>15.6</v>
      </c>
      <c r="AN38" s="85">
        <f t="shared" si="17"/>
        <v>0.18</v>
      </c>
      <c r="AO38" s="38"/>
      <c r="AP38" s="39">
        <f t="shared" si="18"/>
        <v>0.15</v>
      </c>
      <c r="AQ38" s="38"/>
      <c r="AR38" s="40">
        <f t="shared" si="19"/>
        <v>0</v>
      </c>
      <c r="AS38" s="40">
        <f t="shared" si="20"/>
        <v>0</v>
      </c>
      <c r="AT38" s="40">
        <f t="shared" si="21"/>
        <v>0</v>
      </c>
      <c r="AU38" s="40">
        <f t="shared" si="22"/>
        <v>0</v>
      </c>
      <c r="AV38" s="40">
        <f t="shared" si="23"/>
        <v>117.93599999999999</v>
      </c>
      <c r="AW38" s="40">
        <f t="shared" si="24"/>
        <v>0</v>
      </c>
      <c r="AX38" s="75">
        <f t="shared" si="25"/>
        <v>117.93599999999999</v>
      </c>
      <c r="AY38" s="75">
        <f t="shared" si="26"/>
        <v>84.213183600000022</v>
      </c>
      <c r="AZ38" s="86">
        <f t="shared" si="27"/>
        <v>0</v>
      </c>
      <c r="BA38" s="143">
        <f t="shared" si="28"/>
        <v>202.14918360000001</v>
      </c>
      <c r="BB38" s="144">
        <f t="shared" si="29"/>
        <v>40.429836720000004</v>
      </c>
      <c r="BC38" s="143">
        <f t="shared" si="30"/>
        <v>242.57902032000001</v>
      </c>
      <c r="BD38" s="87">
        <f>F38*80</f>
        <v>1248</v>
      </c>
      <c r="BE38" s="143">
        <f t="shared" si="31"/>
        <v>80</v>
      </c>
      <c r="BF38" s="88"/>
      <c r="BG38" s="89">
        <f t="shared" si="32"/>
        <v>560</v>
      </c>
      <c r="BH38" s="89">
        <f t="shared" si="33"/>
        <v>124.8</v>
      </c>
      <c r="BI38" s="89">
        <f t="shared" si="34"/>
        <v>700</v>
      </c>
      <c r="BJ38" s="90">
        <f t="shared" si="35"/>
        <v>0.85</v>
      </c>
      <c r="BK38" s="89">
        <f t="shared" si="36"/>
        <v>0</v>
      </c>
      <c r="BL38" s="109"/>
      <c r="BM38" s="110">
        <f t="shared" si="37"/>
        <v>684.8</v>
      </c>
      <c r="BN38" s="45">
        <f t="shared" si="38"/>
        <v>18</v>
      </c>
      <c r="BO38" s="45">
        <f t="shared" si="39"/>
        <v>26</v>
      </c>
      <c r="BP38" s="89">
        <f t="shared" si="40"/>
        <v>0</v>
      </c>
      <c r="BQ38" s="91"/>
      <c r="BR38" s="41">
        <f t="shared" si="41"/>
        <v>0</v>
      </c>
      <c r="BS38" s="110">
        <f t="shared" si="42"/>
        <v>684.8</v>
      </c>
      <c r="BT38" s="110">
        <f t="shared" si="43"/>
        <v>244.57142857142858</v>
      </c>
    </row>
    <row r="39" spans="1:72" s="92" customFormat="1" x14ac:dyDescent="0.2">
      <c r="B39" s="183" t="s">
        <v>187</v>
      </c>
      <c r="C39" s="184" t="s">
        <v>123</v>
      </c>
      <c r="D39" s="174"/>
      <c r="E39" s="93" t="s">
        <v>152</v>
      </c>
      <c r="F39" s="185">
        <v>6.7</v>
      </c>
      <c r="G39" s="186"/>
      <c r="H39" s="82"/>
      <c r="I39" s="74">
        <f t="shared" si="49"/>
        <v>7.2</v>
      </c>
      <c r="J39" s="147"/>
      <c r="K39" s="75">
        <f t="shared" si="0"/>
        <v>48.24</v>
      </c>
      <c r="L39" s="75" t="str">
        <f t="shared" si="1"/>
        <v/>
      </c>
      <c r="M39" s="75">
        <f t="shared" si="2"/>
        <v>48.24</v>
      </c>
      <c r="N39" s="172" t="e">
        <f t="shared" si="3"/>
        <v>#DIV/0!</v>
      </c>
      <c r="O39" s="178"/>
      <c r="P39" s="179">
        <v>110</v>
      </c>
      <c r="Q39" s="177"/>
      <c r="R39" s="75">
        <f t="shared" si="4"/>
        <v>0</v>
      </c>
      <c r="S39" s="94" t="s">
        <v>239</v>
      </c>
      <c r="T39" s="180"/>
      <c r="U39" s="95"/>
      <c r="V39" s="75">
        <f t="shared" si="5"/>
        <v>0</v>
      </c>
      <c r="W39" s="75">
        <f t="shared" si="6"/>
        <v>0</v>
      </c>
      <c r="X39" s="75">
        <f t="shared" si="7"/>
        <v>0</v>
      </c>
      <c r="Y39" s="78"/>
      <c r="Z39" s="83">
        <f t="shared" si="8"/>
        <v>20</v>
      </c>
      <c r="AA39" s="84">
        <f t="shared" si="9"/>
        <v>3.75</v>
      </c>
      <c r="AB39" s="84">
        <f t="shared" si="10"/>
        <v>0.1</v>
      </c>
      <c r="AC39" s="84">
        <f t="shared" si="48"/>
        <v>20</v>
      </c>
      <c r="AD39" s="37">
        <f t="shared" si="11"/>
        <v>0</v>
      </c>
      <c r="AE39" s="192"/>
      <c r="AF39" s="85">
        <f t="shared" si="12"/>
        <v>0.19</v>
      </c>
      <c r="AG39" s="81"/>
      <c r="AH39" s="85">
        <f t="shared" si="13"/>
        <v>0.8</v>
      </c>
      <c r="AI39" s="81"/>
      <c r="AJ39" s="85">
        <f t="shared" si="14"/>
        <v>1.2</v>
      </c>
      <c r="AK39" s="81"/>
      <c r="AL39" s="85">
        <f t="shared" si="15"/>
        <v>0.1</v>
      </c>
      <c r="AM39" s="182">
        <f t="shared" si="47"/>
        <v>6.7</v>
      </c>
      <c r="AN39" s="85">
        <f t="shared" si="17"/>
        <v>0.18</v>
      </c>
      <c r="AO39" s="38"/>
      <c r="AP39" s="39">
        <f t="shared" si="18"/>
        <v>0.15</v>
      </c>
      <c r="AQ39" s="38"/>
      <c r="AR39" s="40">
        <f t="shared" si="19"/>
        <v>0</v>
      </c>
      <c r="AS39" s="40">
        <f t="shared" si="20"/>
        <v>0</v>
      </c>
      <c r="AT39" s="40">
        <f t="shared" si="21"/>
        <v>0</v>
      </c>
      <c r="AU39" s="40">
        <f t="shared" si="22"/>
        <v>0</v>
      </c>
      <c r="AV39" s="40">
        <f t="shared" si="23"/>
        <v>50.652000000000001</v>
      </c>
      <c r="AW39" s="40">
        <f t="shared" si="24"/>
        <v>0</v>
      </c>
      <c r="AX39" s="75">
        <f t="shared" si="25"/>
        <v>50.652000000000001</v>
      </c>
      <c r="AY39" s="75">
        <f t="shared" si="26"/>
        <v>36.168482700000006</v>
      </c>
      <c r="AZ39" s="86">
        <f t="shared" si="27"/>
        <v>0</v>
      </c>
      <c r="BA39" s="143">
        <f t="shared" si="28"/>
        <v>86.820482700000014</v>
      </c>
      <c r="BB39" s="144">
        <f t="shared" si="29"/>
        <v>17.364096540000002</v>
      </c>
      <c r="BC39" s="143">
        <f t="shared" si="30"/>
        <v>104.18457924000002</v>
      </c>
      <c r="BD39" s="87">
        <v>195</v>
      </c>
      <c r="BE39" s="143">
        <f t="shared" si="31"/>
        <v>29.104477611940297</v>
      </c>
      <c r="BF39" s="88"/>
      <c r="BG39" s="89">
        <f t="shared" si="32"/>
        <v>0</v>
      </c>
      <c r="BH39" s="89">
        <f t="shared" si="33"/>
        <v>53.6</v>
      </c>
      <c r="BI39" s="89">
        <f t="shared" si="34"/>
        <v>700</v>
      </c>
      <c r="BJ39" s="90">
        <f t="shared" si="35"/>
        <v>0.85</v>
      </c>
      <c r="BK39" s="89">
        <f t="shared" si="36"/>
        <v>0</v>
      </c>
      <c r="BL39" s="109"/>
      <c r="BM39" s="110">
        <f t="shared" si="37"/>
        <v>53.6</v>
      </c>
      <c r="BN39" s="45">
        <f t="shared" si="38"/>
        <v>18</v>
      </c>
      <c r="BO39" s="45">
        <f t="shared" si="39"/>
        <v>26</v>
      </c>
      <c r="BP39" s="89">
        <f t="shared" si="40"/>
        <v>0</v>
      </c>
      <c r="BQ39" s="91"/>
      <c r="BR39" s="41">
        <f t="shared" si="41"/>
        <v>0</v>
      </c>
      <c r="BS39" s="110">
        <f t="shared" si="42"/>
        <v>53.6</v>
      </c>
      <c r="BT39" s="110">
        <f t="shared" si="43"/>
        <v>19.142857142857146</v>
      </c>
    </row>
    <row r="40" spans="1:72" s="92" customFormat="1" x14ac:dyDescent="0.2">
      <c r="B40" s="236" t="s">
        <v>176</v>
      </c>
      <c r="C40" s="184" t="s">
        <v>185</v>
      </c>
      <c r="D40" s="174"/>
      <c r="E40" s="93" t="s">
        <v>152</v>
      </c>
      <c r="F40" s="185">
        <v>10.3</v>
      </c>
      <c r="G40" s="186">
        <v>1</v>
      </c>
      <c r="H40" s="82"/>
      <c r="I40" s="74">
        <v>15</v>
      </c>
      <c r="J40" s="147">
        <v>50</v>
      </c>
      <c r="K40" s="75">
        <f t="shared" si="0"/>
        <v>154.5</v>
      </c>
      <c r="L40" s="75">
        <f t="shared" si="1"/>
        <v>50</v>
      </c>
      <c r="M40" s="75">
        <f t="shared" si="2"/>
        <v>204.5</v>
      </c>
      <c r="N40" s="172" t="e">
        <f t="shared" si="3"/>
        <v>#DIV/0!</v>
      </c>
      <c r="O40" s="178"/>
      <c r="P40" s="179">
        <v>110</v>
      </c>
      <c r="Q40" s="177"/>
      <c r="R40" s="75">
        <f t="shared" si="4"/>
        <v>0</v>
      </c>
      <c r="S40" s="94" t="s">
        <v>239</v>
      </c>
      <c r="T40" s="180" t="s">
        <v>154</v>
      </c>
      <c r="U40" s="95"/>
      <c r="V40" s="75">
        <f t="shared" si="5"/>
        <v>0</v>
      </c>
      <c r="W40" s="75">
        <f t="shared" si="6"/>
        <v>0</v>
      </c>
      <c r="X40" s="75">
        <f t="shared" si="7"/>
        <v>0</v>
      </c>
      <c r="Y40" s="78"/>
      <c r="Z40" s="83">
        <f t="shared" si="8"/>
        <v>20</v>
      </c>
      <c r="AA40" s="84">
        <f t="shared" si="9"/>
        <v>3.75</v>
      </c>
      <c r="AB40" s="84">
        <f t="shared" si="10"/>
        <v>0.1</v>
      </c>
      <c r="AC40" s="84">
        <f t="shared" si="48"/>
        <v>20</v>
      </c>
      <c r="AD40" s="37">
        <f t="shared" si="11"/>
        <v>0</v>
      </c>
      <c r="AE40" s="192"/>
      <c r="AF40" s="85">
        <f t="shared" si="12"/>
        <v>0.19</v>
      </c>
      <c r="AG40" s="81"/>
      <c r="AH40" s="85">
        <f t="shared" si="13"/>
        <v>0.8</v>
      </c>
      <c r="AI40" s="81"/>
      <c r="AJ40" s="85">
        <f t="shared" si="14"/>
        <v>1.2</v>
      </c>
      <c r="AK40" s="81"/>
      <c r="AL40" s="85">
        <f t="shared" si="15"/>
        <v>0.1</v>
      </c>
      <c r="AM40" s="182">
        <f t="shared" si="47"/>
        <v>10.3</v>
      </c>
      <c r="AN40" s="85">
        <f t="shared" si="17"/>
        <v>0.18</v>
      </c>
      <c r="AO40" s="38"/>
      <c r="AP40" s="39">
        <f t="shared" si="18"/>
        <v>0.15</v>
      </c>
      <c r="AQ40" s="38"/>
      <c r="AR40" s="40">
        <f t="shared" si="19"/>
        <v>0</v>
      </c>
      <c r="AS40" s="40">
        <f t="shared" si="20"/>
        <v>0</v>
      </c>
      <c r="AT40" s="40">
        <f t="shared" si="21"/>
        <v>0</v>
      </c>
      <c r="AU40" s="40">
        <f t="shared" si="22"/>
        <v>0</v>
      </c>
      <c r="AV40" s="40">
        <f t="shared" si="23"/>
        <v>77.868000000000009</v>
      </c>
      <c r="AW40" s="40">
        <f t="shared" si="24"/>
        <v>0</v>
      </c>
      <c r="AX40" s="75">
        <f t="shared" si="25"/>
        <v>77.868000000000009</v>
      </c>
      <c r="AY40" s="75">
        <f t="shared" si="26"/>
        <v>55.602294300000011</v>
      </c>
      <c r="AZ40" s="86">
        <f t="shared" si="27"/>
        <v>0</v>
      </c>
      <c r="BA40" s="143">
        <f t="shared" si="28"/>
        <v>133.47029430000003</v>
      </c>
      <c r="BB40" s="144">
        <f t="shared" si="29"/>
        <v>26.694058860000009</v>
      </c>
      <c r="BC40" s="143">
        <f t="shared" si="30"/>
        <v>160.16435316000005</v>
      </c>
      <c r="BD40" s="87">
        <f>F40*50</f>
        <v>515</v>
      </c>
      <c r="BE40" s="143">
        <f t="shared" si="31"/>
        <v>50</v>
      </c>
      <c r="BF40" s="88"/>
      <c r="BG40" s="89">
        <f t="shared" si="32"/>
        <v>80</v>
      </c>
      <c r="BH40" s="89">
        <f t="shared" si="33"/>
        <v>82.4</v>
      </c>
      <c r="BI40" s="89">
        <f t="shared" si="34"/>
        <v>700</v>
      </c>
      <c r="BJ40" s="90">
        <f t="shared" si="35"/>
        <v>0.85</v>
      </c>
      <c r="BK40" s="89">
        <f t="shared" si="36"/>
        <v>0</v>
      </c>
      <c r="BL40" s="109"/>
      <c r="BM40" s="110">
        <f t="shared" si="37"/>
        <v>162.4</v>
      </c>
      <c r="BN40" s="45">
        <f t="shared" si="38"/>
        <v>18</v>
      </c>
      <c r="BO40" s="45">
        <f t="shared" si="39"/>
        <v>26</v>
      </c>
      <c r="BP40" s="89">
        <f t="shared" si="40"/>
        <v>0</v>
      </c>
      <c r="BQ40" s="91"/>
      <c r="BR40" s="41">
        <f t="shared" si="41"/>
        <v>0</v>
      </c>
      <c r="BS40" s="110">
        <f t="shared" si="42"/>
        <v>162.4</v>
      </c>
      <c r="BT40" s="110">
        <f t="shared" si="43"/>
        <v>58.000000000000007</v>
      </c>
    </row>
    <row r="41" spans="1:72" s="92" customFormat="1" x14ac:dyDescent="0.2">
      <c r="A41" s="67"/>
      <c r="B41" s="183" t="s">
        <v>203</v>
      </c>
      <c r="C41" s="184" t="s">
        <v>122</v>
      </c>
      <c r="D41" s="174"/>
      <c r="E41" s="35" t="s">
        <v>152</v>
      </c>
      <c r="F41" s="185">
        <v>23.7</v>
      </c>
      <c r="G41" s="186"/>
      <c r="H41" s="82"/>
      <c r="I41" s="74">
        <f>$I$7</f>
        <v>7.2</v>
      </c>
      <c r="J41" s="147">
        <f>$J$7</f>
        <v>26</v>
      </c>
      <c r="K41" s="75">
        <f t="shared" si="0"/>
        <v>170.64</v>
      </c>
      <c r="L41" s="75" t="str">
        <f t="shared" si="1"/>
        <v/>
      </c>
      <c r="M41" s="75">
        <f t="shared" si="2"/>
        <v>170.64</v>
      </c>
      <c r="N41" s="172">
        <f t="shared" si="3"/>
        <v>0.74531343283582097</v>
      </c>
      <c r="O41" s="178">
        <v>670</v>
      </c>
      <c r="P41" s="179"/>
      <c r="Q41" s="177"/>
      <c r="R41" s="75">
        <f t="shared" si="4"/>
        <v>28.270042194092827</v>
      </c>
      <c r="S41" s="94" t="s">
        <v>239</v>
      </c>
      <c r="T41" s="180" t="s">
        <v>154</v>
      </c>
      <c r="U41" s="95"/>
      <c r="V41" s="75">
        <f t="shared" si="5"/>
        <v>670</v>
      </c>
      <c r="W41" s="75">
        <f t="shared" si="6"/>
        <v>335</v>
      </c>
      <c r="X41" s="75">
        <f t="shared" si="7"/>
        <v>100.5</v>
      </c>
      <c r="Y41" s="78"/>
      <c r="Z41" s="83">
        <f t="shared" si="8"/>
        <v>20</v>
      </c>
      <c r="AA41" s="84">
        <f t="shared" si="9"/>
        <v>3.75</v>
      </c>
      <c r="AB41" s="84">
        <f t="shared" si="10"/>
        <v>0.1</v>
      </c>
      <c r="AC41" s="84">
        <f t="shared" si="48"/>
        <v>20</v>
      </c>
      <c r="AD41" s="37">
        <f t="shared" si="11"/>
        <v>670</v>
      </c>
      <c r="AE41" s="192">
        <v>8.23</v>
      </c>
      <c r="AF41" s="85">
        <f t="shared" si="12"/>
        <v>0.19</v>
      </c>
      <c r="AG41" s="81"/>
      <c r="AH41" s="85">
        <f t="shared" si="13"/>
        <v>0.8</v>
      </c>
      <c r="AI41" s="81"/>
      <c r="AJ41" s="85">
        <f t="shared" si="14"/>
        <v>1.2</v>
      </c>
      <c r="AK41" s="81"/>
      <c r="AL41" s="85">
        <f t="shared" si="15"/>
        <v>0.1</v>
      </c>
      <c r="AM41" s="182">
        <f t="shared" si="47"/>
        <v>23.7</v>
      </c>
      <c r="AN41" s="85">
        <f t="shared" si="17"/>
        <v>0.18</v>
      </c>
      <c r="AO41" s="38"/>
      <c r="AP41" s="39">
        <f t="shared" si="18"/>
        <v>0.15</v>
      </c>
      <c r="AQ41" s="38"/>
      <c r="AR41" s="40">
        <f t="shared" si="19"/>
        <v>246.28275000000002</v>
      </c>
      <c r="AS41" s="40">
        <f t="shared" si="20"/>
        <v>0</v>
      </c>
      <c r="AT41" s="40">
        <f t="shared" si="21"/>
        <v>0</v>
      </c>
      <c r="AU41" s="40">
        <f t="shared" si="22"/>
        <v>0</v>
      </c>
      <c r="AV41" s="40">
        <f t="shared" si="23"/>
        <v>179.172</v>
      </c>
      <c r="AW41" s="40">
        <f t="shared" si="24"/>
        <v>0</v>
      </c>
      <c r="AX41" s="75">
        <f t="shared" si="25"/>
        <v>425.45474999999999</v>
      </c>
      <c r="AY41" s="75">
        <f t="shared" si="26"/>
        <v>127.93925970000002</v>
      </c>
      <c r="AZ41" s="86">
        <f t="shared" si="27"/>
        <v>0</v>
      </c>
      <c r="BA41" s="143">
        <f t="shared" si="28"/>
        <v>553.39400969999997</v>
      </c>
      <c r="BB41" s="144">
        <f t="shared" si="29"/>
        <v>110.67880194</v>
      </c>
      <c r="BC41" s="143">
        <f t="shared" si="30"/>
        <v>664.07281163999994</v>
      </c>
      <c r="BD41" s="87">
        <f>F41*50</f>
        <v>1185</v>
      </c>
      <c r="BE41" s="143">
        <f t="shared" si="31"/>
        <v>50</v>
      </c>
      <c r="BF41" s="88"/>
      <c r="BG41" s="89">
        <f t="shared" si="32"/>
        <v>0</v>
      </c>
      <c r="BH41" s="89">
        <f t="shared" si="33"/>
        <v>189.6</v>
      </c>
      <c r="BI41" s="89">
        <f t="shared" si="34"/>
        <v>700</v>
      </c>
      <c r="BJ41" s="90">
        <f t="shared" si="35"/>
        <v>0.85</v>
      </c>
      <c r="BK41" s="89">
        <f t="shared" si="36"/>
        <v>0</v>
      </c>
      <c r="BL41" s="109"/>
      <c r="BM41" s="110">
        <f t="shared" si="37"/>
        <v>189.6</v>
      </c>
      <c r="BN41" s="45">
        <f t="shared" si="38"/>
        <v>18</v>
      </c>
      <c r="BO41" s="45">
        <f t="shared" si="39"/>
        <v>26</v>
      </c>
      <c r="BP41" s="89">
        <f t="shared" si="40"/>
        <v>1875.9999999999998</v>
      </c>
      <c r="BQ41" s="91"/>
      <c r="BR41" s="41">
        <f t="shared" si="41"/>
        <v>1875.9999999999998</v>
      </c>
      <c r="BS41" s="110">
        <f t="shared" si="42"/>
        <v>-1686.3999999999999</v>
      </c>
      <c r="BT41" s="110" t="str">
        <f t="shared" si="43"/>
        <v/>
      </c>
    </row>
    <row r="42" spans="1:72" s="92" customFormat="1" x14ac:dyDescent="0.2">
      <c r="B42" s="183" t="s">
        <v>174</v>
      </c>
      <c r="C42" s="184" t="s">
        <v>121</v>
      </c>
      <c r="D42" s="174"/>
      <c r="E42" s="93" t="s">
        <v>152</v>
      </c>
      <c r="F42" s="185">
        <v>15.6</v>
      </c>
      <c r="G42" s="186">
        <v>7</v>
      </c>
      <c r="H42" s="82"/>
      <c r="I42" s="74">
        <f>$I$7</f>
        <v>7.2</v>
      </c>
      <c r="J42" s="147">
        <v>80</v>
      </c>
      <c r="K42" s="75">
        <f t="shared" si="0"/>
        <v>112.32</v>
      </c>
      <c r="L42" s="75">
        <f t="shared" si="1"/>
        <v>560</v>
      </c>
      <c r="M42" s="75">
        <f t="shared" si="2"/>
        <v>672.31999999999994</v>
      </c>
      <c r="N42" s="172" t="e">
        <f t="shared" si="3"/>
        <v>#DIV/0!</v>
      </c>
      <c r="O42" s="178"/>
      <c r="P42" s="179">
        <v>560</v>
      </c>
      <c r="Q42" s="177"/>
      <c r="R42" s="75">
        <f t="shared" si="4"/>
        <v>0</v>
      </c>
      <c r="S42" s="94" t="s">
        <v>239</v>
      </c>
      <c r="T42" s="180" t="s">
        <v>154</v>
      </c>
      <c r="U42" s="95"/>
      <c r="V42" s="75">
        <f t="shared" si="5"/>
        <v>0</v>
      </c>
      <c r="W42" s="75">
        <f t="shared" si="6"/>
        <v>0</v>
      </c>
      <c r="X42" s="75">
        <f t="shared" si="7"/>
        <v>0</v>
      </c>
      <c r="Y42" s="78"/>
      <c r="Z42" s="83">
        <f t="shared" si="8"/>
        <v>20</v>
      </c>
      <c r="AA42" s="84">
        <f t="shared" si="9"/>
        <v>3.75</v>
      </c>
      <c r="AB42" s="84">
        <f t="shared" si="10"/>
        <v>0.1</v>
      </c>
      <c r="AC42" s="84">
        <f t="shared" si="48"/>
        <v>20</v>
      </c>
      <c r="AD42" s="37">
        <f t="shared" si="11"/>
        <v>0</v>
      </c>
      <c r="AE42" s="192"/>
      <c r="AF42" s="85">
        <f t="shared" si="12"/>
        <v>0.19</v>
      </c>
      <c r="AG42" s="81"/>
      <c r="AH42" s="85">
        <f t="shared" si="13"/>
        <v>0.8</v>
      </c>
      <c r="AI42" s="81"/>
      <c r="AJ42" s="85">
        <f t="shared" si="14"/>
        <v>1.2</v>
      </c>
      <c r="AK42" s="81"/>
      <c r="AL42" s="85">
        <f t="shared" si="15"/>
        <v>0.1</v>
      </c>
      <c r="AM42" s="182">
        <f t="shared" si="47"/>
        <v>15.6</v>
      </c>
      <c r="AN42" s="85">
        <f t="shared" si="17"/>
        <v>0.18</v>
      </c>
      <c r="AO42" s="38"/>
      <c r="AP42" s="39">
        <f t="shared" si="18"/>
        <v>0.15</v>
      </c>
      <c r="AQ42" s="38"/>
      <c r="AR42" s="40">
        <f t="shared" si="19"/>
        <v>0</v>
      </c>
      <c r="AS42" s="40">
        <f t="shared" si="20"/>
        <v>0</v>
      </c>
      <c r="AT42" s="40">
        <f t="shared" si="21"/>
        <v>0</v>
      </c>
      <c r="AU42" s="40">
        <f t="shared" si="22"/>
        <v>0</v>
      </c>
      <c r="AV42" s="40">
        <f t="shared" si="23"/>
        <v>117.93599999999999</v>
      </c>
      <c r="AW42" s="40">
        <f t="shared" si="24"/>
        <v>0</v>
      </c>
      <c r="AX42" s="75">
        <f t="shared" si="25"/>
        <v>117.93599999999999</v>
      </c>
      <c r="AY42" s="75">
        <f t="shared" si="26"/>
        <v>84.213183600000022</v>
      </c>
      <c r="AZ42" s="86">
        <f t="shared" si="27"/>
        <v>0</v>
      </c>
      <c r="BA42" s="143">
        <f t="shared" si="28"/>
        <v>202.14918360000001</v>
      </c>
      <c r="BB42" s="144">
        <f t="shared" si="29"/>
        <v>40.429836720000004</v>
      </c>
      <c r="BC42" s="143">
        <f t="shared" si="30"/>
        <v>242.57902032000001</v>
      </c>
      <c r="BD42" s="87">
        <f>F42*80</f>
        <v>1248</v>
      </c>
      <c r="BE42" s="143">
        <f t="shared" si="31"/>
        <v>80</v>
      </c>
      <c r="BF42" s="88"/>
      <c r="BG42" s="89">
        <f t="shared" si="32"/>
        <v>560</v>
      </c>
      <c r="BH42" s="89">
        <f t="shared" si="33"/>
        <v>124.8</v>
      </c>
      <c r="BI42" s="89">
        <f t="shared" si="34"/>
        <v>700</v>
      </c>
      <c r="BJ42" s="90">
        <f t="shared" si="35"/>
        <v>0.85</v>
      </c>
      <c r="BK42" s="89">
        <f t="shared" si="36"/>
        <v>0</v>
      </c>
      <c r="BL42" s="109"/>
      <c r="BM42" s="110">
        <f t="shared" si="37"/>
        <v>684.8</v>
      </c>
      <c r="BN42" s="45">
        <f t="shared" si="38"/>
        <v>18</v>
      </c>
      <c r="BO42" s="45">
        <f t="shared" si="39"/>
        <v>26</v>
      </c>
      <c r="BP42" s="89">
        <f t="shared" si="40"/>
        <v>0</v>
      </c>
      <c r="BQ42" s="91"/>
      <c r="BR42" s="41">
        <f t="shared" si="41"/>
        <v>0</v>
      </c>
      <c r="BS42" s="110">
        <f t="shared" si="42"/>
        <v>684.8</v>
      </c>
      <c r="BT42" s="110">
        <f t="shared" si="43"/>
        <v>244.57142857142858</v>
      </c>
    </row>
    <row r="43" spans="1:72" s="92" customFormat="1" x14ac:dyDescent="0.2">
      <c r="B43" s="183" t="s">
        <v>186</v>
      </c>
      <c r="C43" s="184" t="s">
        <v>123</v>
      </c>
      <c r="D43" s="174"/>
      <c r="E43" s="35" t="s">
        <v>152</v>
      </c>
      <c r="F43" s="185">
        <v>6.6</v>
      </c>
      <c r="G43" s="186"/>
      <c r="H43" s="82"/>
      <c r="I43" s="74">
        <f>$I$7</f>
        <v>7.2</v>
      </c>
      <c r="J43" s="147"/>
      <c r="K43" s="75">
        <f t="shared" ref="K43:K75" si="50">IF(F43="","",SUM(F43*I43))</f>
        <v>47.519999999999996</v>
      </c>
      <c r="L43" s="75" t="str">
        <f t="shared" ref="L43:L75" si="51">IF(G43="","",SUM(G43*J43))</f>
        <v/>
      </c>
      <c r="M43" s="75">
        <f t="shared" ref="M43:M75" si="52">SUM(K43:L43)</f>
        <v>47.519999999999996</v>
      </c>
      <c r="N43" s="172" t="e">
        <f t="shared" ref="N43:N75" si="53">(O43-M43)/O43</f>
        <v>#DIV/0!</v>
      </c>
      <c r="O43" s="178"/>
      <c r="P43" s="179">
        <v>110</v>
      </c>
      <c r="Q43" s="177"/>
      <c r="R43" s="75">
        <f t="shared" ref="R43:R75" si="54">IF(F43="","",SUM(O43/F43))</f>
        <v>0</v>
      </c>
      <c r="S43" s="94" t="s">
        <v>239</v>
      </c>
      <c r="T43" s="180"/>
      <c r="U43" s="95"/>
      <c r="V43" s="75">
        <f t="shared" ref="V43:V75" si="55">IF(T43="x",O43,0)</f>
        <v>0</v>
      </c>
      <c r="W43" s="75">
        <f t="shared" ref="W43:W75" si="56">V43*$W$8</f>
        <v>0</v>
      </c>
      <c r="X43" s="75">
        <f t="shared" ref="X43:X75" si="57">V43*$X$8</f>
        <v>0</v>
      </c>
      <c r="Y43" s="78"/>
      <c r="Z43" s="83">
        <f t="shared" ref="Z43:Z66" si="58">$Z$6</f>
        <v>20</v>
      </c>
      <c r="AA43" s="84">
        <f t="shared" si="9"/>
        <v>3.75</v>
      </c>
      <c r="AB43" s="84">
        <f t="shared" ref="AB43:AB75" si="59">n</f>
        <v>0.1</v>
      </c>
      <c r="AC43" s="84">
        <f t="shared" si="48"/>
        <v>20</v>
      </c>
      <c r="AD43" s="37">
        <f t="shared" ref="AD43:AD75" si="60">O43</f>
        <v>0</v>
      </c>
      <c r="AE43" s="192">
        <v>2.5</v>
      </c>
      <c r="AF43" s="85">
        <f t="shared" ref="AF43:AF75" si="61">U_1</f>
        <v>0.19</v>
      </c>
      <c r="AG43" s="81"/>
      <c r="AH43" s="85">
        <f t="shared" ref="AH43:AH75" si="62">U_2</f>
        <v>0.8</v>
      </c>
      <c r="AI43" s="81"/>
      <c r="AJ43" s="85">
        <f t="shared" ref="AJ43:AJ75" si="63">U_3</f>
        <v>1.2</v>
      </c>
      <c r="AK43" s="81"/>
      <c r="AL43" s="85">
        <f t="shared" ref="AL43:AL75" si="64">U_4</f>
        <v>0.1</v>
      </c>
      <c r="AM43" s="182">
        <f t="shared" si="47"/>
        <v>6.6</v>
      </c>
      <c r="AN43" s="85">
        <f t="shared" ref="AN43:AN75" si="65">U_5</f>
        <v>0.18</v>
      </c>
      <c r="AO43" s="38"/>
      <c r="AP43" s="39">
        <f t="shared" ref="AP43:AP75" si="66">U_6</f>
        <v>0.15</v>
      </c>
      <c r="AQ43" s="38"/>
      <c r="AR43" s="40">
        <f t="shared" ref="AR43:AR75" si="67">MAX(0,(AF43*(AE43*AA43-AG43-AI43))*(Z43-DUT))</f>
        <v>74.8125</v>
      </c>
      <c r="AS43" s="40">
        <f t="shared" ref="AS43:AS75" si="68">AH43*AG43*(Z43-DUT)</f>
        <v>0</v>
      </c>
      <c r="AT43" s="40">
        <f t="shared" ref="AT43:AT75" si="69">AJ43*AI43*(Z43-DUT)</f>
        <v>0</v>
      </c>
      <c r="AU43" s="40">
        <f t="shared" ref="AU43:AU75" si="70">AL43*AK43*(Z43-DUT)</f>
        <v>0</v>
      </c>
      <c r="AV43" s="40">
        <f t="shared" ref="AV43:AV75" si="71">AN43*AM43*(Z43-DUT)</f>
        <v>49.896000000000001</v>
      </c>
      <c r="AW43" s="40">
        <f t="shared" ref="AW43:AW75" si="72">AP43*AO43*(Z43-AQ43)</f>
        <v>0</v>
      </c>
      <c r="AX43" s="75">
        <f t="shared" ref="AX43:AX75" si="73">SUM(AR43:AW43)</f>
        <v>124.7085</v>
      </c>
      <c r="AY43" s="75">
        <f t="shared" ref="AY43:AY75" si="74">(F43*AA43)*(AB43/3600)*(-0.0045*(Z43+273)+2.5426)*1008*(Z43-DUT)</f>
        <v>35.628654600000011</v>
      </c>
      <c r="AZ43" s="86">
        <f t="shared" ref="AZ43:AZ75" si="75">IF(AC43=DUT,-(ABS(AD43)/3600)*(-0.0045*(Z43+273)+2.5426)*1008*(AC43-Z43),-(ABS(AD43)/3600)*(-0.0045*(((AC43+Z43)/2)+273)+2.5426)*1008*(AC43-Z43))</f>
        <v>0</v>
      </c>
      <c r="BA43" s="143">
        <f t="shared" ref="BA43:BA75" si="76">SUM(AX43:AZ43)</f>
        <v>160.33715460000002</v>
      </c>
      <c r="BB43" s="144">
        <f t="shared" ref="BB43:BB75" si="77">ABS(BA43*(sikkerhetstill/100))</f>
        <v>32.067430920000007</v>
      </c>
      <c r="BC43" s="143">
        <f t="shared" ref="BC43:BC75" si="78">MAX(0,AX43+AY43+AZ43+BB43)</f>
        <v>192.40458552000001</v>
      </c>
      <c r="BD43" s="87">
        <v>225</v>
      </c>
      <c r="BE43" s="143">
        <f t="shared" ref="BE43:BE75" si="79">IF(F43=0,0,IF(F43="","",BD43/F43))</f>
        <v>34.090909090909093</v>
      </c>
      <c r="BF43" s="88"/>
      <c r="BG43" s="89">
        <f t="shared" ref="BG43:BG75" si="80">G43*$BG$6</f>
        <v>0</v>
      </c>
      <c r="BH43" s="89">
        <f t="shared" ref="BH43:BH75" si="81">F43*$BH$6</f>
        <v>52.8</v>
      </c>
      <c r="BI43" s="89">
        <f t="shared" ref="BI43:BI75" si="82">$BI$6</f>
        <v>700</v>
      </c>
      <c r="BJ43" s="90">
        <f t="shared" ref="BJ43:BJ75" si="83">$BJ$6</f>
        <v>0.85</v>
      </c>
      <c r="BK43" s="89">
        <f t="shared" ref="BK43:BK75" si="84">AG43*BI43*(1-BJ43)</f>
        <v>0</v>
      </c>
      <c r="BL43" s="109"/>
      <c r="BM43" s="110">
        <f t="shared" ref="BM43:BM75" si="85">BG43+BH43+BK43+BL43</f>
        <v>52.8</v>
      </c>
      <c r="BN43" s="45">
        <f t="shared" ref="BN43:BN75" si="86">$BN$6</f>
        <v>18</v>
      </c>
      <c r="BO43" s="45">
        <f t="shared" ref="BO43:BO75" si="87">$BO$6</f>
        <v>26</v>
      </c>
      <c r="BP43" s="89">
        <f t="shared" ref="BP43:BP75" si="88">O43*0.35*(BO43-BN43)</f>
        <v>0</v>
      </c>
      <c r="BQ43" s="91"/>
      <c r="BR43" s="41">
        <f t="shared" ref="BR43:BR75" si="89">SUM(BP43:BQ43)</f>
        <v>0</v>
      </c>
      <c r="BS43" s="110">
        <f t="shared" ref="BS43:BS75" si="90">BM43-BR43</f>
        <v>52.8</v>
      </c>
      <c r="BT43" s="110">
        <f t="shared" ref="BT43:BT75" si="91">IF(BS43&gt;0,BS43/(0.35*(BO43-BN43)),"")</f>
        <v>18.857142857142858</v>
      </c>
    </row>
    <row r="44" spans="1:72" s="92" customFormat="1" x14ac:dyDescent="0.2">
      <c r="B44" s="183" t="s">
        <v>249</v>
      </c>
      <c r="C44" s="184" t="s">
        <v>131</v>
      </c>
      <c r="D44" s="174"/>
      <c r="E44" s="93" t="s">
        <v>152</v>
      </c>
      <c r="F44" s="185">
        <v>41.8</v>
      </c>
      <c r="G44" s="186"/>
      <c r="H44" s="82"/>
      <c r="I44" s="74">
        <v>3.6</v>
      </c>
      <c r="J44" s="147"/>
      <c r="K44" s="75">
        <f t="shared" si="50"/>
        <v>150.47999999999999</v>
      </c>
      <c r="L44" s="75" t="str">
        <f t="shared" si="51"/>
        <v/>
      </c>
      <c r="M44" s="75">
        <f t="shared" si="52"/>
        <v>150.47999999999999</v>
      </c>
      <c r="N44" s="172">
        <f t="shared" si="53"/>
        <v>0.24760000000000004</v>
      </c>
      <c r="O44" s="178">
        <v>200</v>
      </c>
      <c r="P44" s="179"/>
      <c r="Q44" s="177"/>
      <c r="R44" s="75">
        <f t="shared" si="54"/>
        <v>4.7846889952153111</v>
      </c>
      <c r="S44" s="94" t="s">
        <v>239</v>
      </c>
      <c r="T44" s="180"/>
      <c r="U44" s="95"/>
      <c r="V44" s="75">
        <f t="shared" si="55"/>
        <v>0</v>
      </c>
      <c r="W44" s="75">
        <f t="shared" si="56"/>
        <v>0</v>
      </c>
      <c r="X44" s="75">
        <f t="shared" si="57"/>
        <v>0</v>
      </c>
      <c r="Y44" s="78"/>
      <c r="Z44" s="83">
        <f t="shared" si="58"/>
        <v>20</v>
      </c>
      <c r="AA44" s="84">
        <f t="shared" si="9"/>
        <v>3.75</v>
      </c>
      <c r="AB44" s="84">
        <f t="shared" si="59"/>
        <v>0.1</v>
      </c>
      <c r="AC44" s="84">
        <f t="shared" si="48"/>
        <v>20</v>
      </c>
      <c r="AD44" s="37">
        <f t="shared" si="60"/>
        <v>200</v>
      </c>
      <c r="AE44" s="192">
        <v>6.95</v>
      </c>
      <c r="AF44" s="85">
        <f t="shared" si="61"/>
        <v>0.19</v>
      </c>
      <c r="AG44" s="81">
        <v>3.82</v>
      </c>
      <c r="AH44" s="85">
        <f t="shared" si="62"/>
        <v>0.8</v>
      </c>
      <c r="AI44" s="81"/>
      <c r="AJ44" s="85">
        <f t="shared" si="63"/>
        <v>1.2</v>
      </c>
      <c r="AK44" s="81"/>
      <c r="AL44" s="85">
        <f t="shared" si="64"/>
        <v>0.1</v>
      </c>
      <c r="AM44" s="182">
        <f t="shared" si="47"/>
        <v>41.8</v>
      </c>
      <c r="AN44" s="85">
        <f t="shared" si="65"/>
        <v>0.18</v>
      </c>
      <c r="AO44" s="38"/>
      <c r="AP44" s="39">
        <f t="shared" si="66"/>
        <v>0.15</v>
      </c>
      <c r="AQ44" s="38"/>
      <c r="AR44" s="40">
        <f t="shared" si="67"/>
        <v>177.49515</v>
      </c>
      <c r="AS44" s="40">
        <f t="shared" si="68"/>
        <v>128.352</v>
      </c>
      <c r="AT44" s="40">
        <f t="shared" si="69"/>
        <v>0</v>
      </c>
      <c r="AU44" s="40">
        <f t="shared" si="70"/>
        <v>0</v>
      </c>
      <c r="AV44" s="40">
        <f t="shared" si="71"/>
        <v>316.00799999999998</v>
      </c>
      <c r="AW44" s="40">
        <f t="shared" si="72"/>
        <v>0</v>
      </c>
      <c r="AX44" s="75">
        <f t="shared" si="73"/>
        <v>621.85514999999998</v>
      </c>
      <c r="AY44" s="75">
        <f t="shared" si="74"/>
        <v>225.64814580000004</v>
      </c>
      <c r="AZ44" s="86">
        <f t="shared" si="75"/>
        <v>0</v>
      </c>
      <c r="BA44" s="143">
        <f t="shared" si="76"/>
        <v>847.50329580000005</v>
      </c>
      <c r="BB44" s="144">
        <f t="shared" si="77"/>
        <v>169.50065916000003</v>
      </c>
      <c r="BC44" s="143">
        <f t="shared" si="78"/>
        <v>1017.0039549600001</v>
      </c>
      <c r="BD44" s="87">
        <v>1250</v>
      </c>
      <c r="BE44" s="143">
        <f t="shared" si="79"/>
        <v>29.904306220095695</v>
      </c>
      <c r="BF44" s="88"/>
      <c r="BG44" s="89">
        <f t="shared" si="80"/>
        <v>0</v>
      </c>
      <c r="BH44" s="89">
        <f t="shared" si="81"/>
        <v>334.4</v>
      </c>
      <c r="BI44" s="89">
        <f t="shared" si="82"/>
        <v>700</v>
      </c>
      <c r="BJ44" s="90">
        <f t="shared" si="83"/>
        <v>0.85</v>
      </c>
      <c r="BK44" s="89">
        <f t="shared" si="84"/>
        <v>401.10000000000008</v>
      </c>
      <c r="BL44" s="109"/>
      <c r="BM44" s="110">
        <f t="shared" si="85"/>
        <v>735.5</v>
      </c>
      <c r="BN44" s="45">
        <f t="shared" si="86"/>
        <v>18</v>
      </c>
      <c r="BO44" s="45">
        <f t="shared" si="87"/>
        <v>26</v>
      </c>
      <c r="BP44" s="89">
        <f t="shared" si="88"/>
        <v>560</v>
      </c>
      <c r="BQ44" s="91"/>
      <c r="BR44" s="41">
        <f t="shared" si="89"/>
        <v>560</v>
      </c>
      <c r="BS44" s="110">
        <f t="shared" si="90"/>
        <v>175.5</v>
      </c>
      <c r="BT44" s="110">
        <f t="shared" si="91"/>
        <v>62.678571428571431</v>
      </c>
    </row>
    <row r="45" spans="1:72" s="92" customFormat="1" x14ac:dyDescent="0.2">
      <c r="B45" s="183" t="s">
        <v>209</v>
      </c>
      <c r="C45" s="184" t="s">
        <v>136</v>
      </c>
      <c r="D45" s="174"/>
      <c r="E45" s="93" t="s">
        <v>152</v>
      </c>
      <c r="F45" s="185">
        <v>21.4</v>
      </c>
      <c r="G45" s="186"/>
      <c r="H45" s="82"/>
      <c r="I45" s="74">
        <v>7.2</v>
      </c>
      <c r="J45" s="147"/>
      <c r="K45" s="75">
        <f t="shared" si="50"/>
        <v>154.07999999999998</v>
      </c>
      <c r="L45" s="75" t="str">
        <f t="shared" si="51"/>
        <v/>
      </c>
      <c r="M45" s="75">
        <f t="shared" si="52"/>
        <v>154.07999999999998</v>
      </c>
      <c r="N45" s="172">
        <f t="shared" si="53"/>
        <v>0.73884745762711868</v>
      </c>
      <c r="O45" s="178">
        <v>590</v>
      </c>
      <c r="P45" s="179">
        <v>390</v>
      </c>
      <c r="Q45" s="177"/>
      <c r="R45" s="75">
        <f t="shared" si="54"/>
        <v>27.570093457943926</v>
      </c>
      <c r="S45" s="94" t="s">
        <v>239</v>
      </c>
      <c r="T45" s="180"/>
      <c r="U45" s="95"/>
      <c r="V45" s="75">
        <f t="shared" si="55"/>
        <v>0</v>
      </c>
      <c r="W45" s="75">
        <f t="shared" si="56"/>
        <v>0</v>
      </c>
      <c r="X45" s="75">
        <f t="shared" si="57"/>
        <v>0</v>
      </c>
      <c r="Y45" s="78"/>
      <c r="Z45" s="83">
        <f t="shared" si="58"/>
        <v>20</v>
      </c>
      <c r="AA45" s="84">
        <f t="shared" si="9"/>
        <v>3.75</v>
      </c>
      <c r="AB45" s="84">
        <f t="shared" si="59"/>
        <v>0.1</v>
      </c>
      <c r="AC45" s="84">
        <f t="shared" si="48"/>
        <v>20</v>
      </c>
      <c r="AD45" s="37">
        <f t="shared" si="60"/>
        <v>590</v>
      </c>
      <c r="AE45" s="192">
        <v>8.76</v>
      </c>
      <c r="AF45" s="85">
        <f t="shared" si="61"/>
        <v>0.19</v>
      </c>
      <c r="AG45" s="81">
        <v>3.2</v>
      </c>
      <c r="AH45" s="85">
        <f t="shared" si="62"/>
        <v>0.8</v>
      </c>
      <c r="AI45" s="81"/>
      <c r="AJ45" s="85">
        <f t="shared" si="63"/>
        <v>1.2</v>
      </c>
      <c r="AK45" s="81"/>
      <c r="AL45" s="85">
        <f t="shared" si="64"/>
        <v>0.1</v>
      </c>
      <c r="AM45" s="182">
        <f t="shared" si="47"/>
        <v>21.4</v>
      </c>
      <c r="AN45" s="85">
        <f t="shared" si="65"/>
        <v>0.18</v>
      </c>
      <c r="AO45" s="38"/>
      <c r="AP45" s="39">
        <f t="shared" si="66"/>
        <v>0.15</v>
      </c>
      <c r="AQ45" s="38"/>
      <c r="AR45" s="40">
        <f t="shared" si="67"/>
        <v>236.60700000000003</v>
      </c>
      <c r="AS45" s="40">
        <f t="shared" si="68"/>
        <v>107.52000000000002</v>
      </c>
      <c r="AT45" s="40">
        <f t="shared" si="69"/>
        <v>0</v>
      </c>
      <c r="AU45" s="40">
        <f t="shared" si="70"/>
        <v>0</v>
      </c>
      <c r="AV45" s="40">
        <f t="shared" si="71"/>
        <v>161.78399999999996</v>
      </c>
      <c r="AW45" s="40">
        <f t="shared" si="72"/>
        <v>0</v>
      </c>
      <c r="AX45" s="75">
        <f t="shared" si="73"/>
        <v>505.91100000000006</v>
      </c>
      <c r="AY45" s="75">
        <f t="shared" si="74"/>
        <v>115.5232134</v>
      </c>
      <c r="AZ45" s="86">
        <f t="shared" si="75"/>
        <v>0</v>
      </c>
      <c r="BA45" s="143">
        <f t="shared" si="76"/>
        <v>621.43421340000009</v>
      </c>
      <c r="BB45" s="144">
        <f t="shared" si="77"/>
        <v>124.28684268000002</v>
      </c>
      <c r="BC45" s="143">
        <f t="shared" si="78"/>
        <v>745.72105608000015</v>
      </c>
      <c r="BD45" s="87">
        <v>750</v>
      </c>
      <c r="BE45" s="143">
        <f t="shared" si="79"/>
        <v>35.046728971962622</v>
      </c>
      <c r="BF45" s="88"/>
      <c r="BG45" s="89">
        <f t="shared" si="80"/>
        <v>0</v>
      </c>
      <c r="BH45" s="89">
        <f t="shared" si="81"/>
        <v>171.2</v>
      </c>
      <c r="BI45" s="89">
        <f t="shared" si="82"/>
        <v>700</v>
      </c>
      <c r="BJ45" s="90">
        <f t="shared" si="83"/>
        <v>0.85</v>
      </c>
      <c r="BK45" s="89">
        <f t="shared" si="84"/>
        <v>336.00000000000006</v>
      </c>
      <c r="BL45" s="109"/>
      <c r="BM45" s="110">
        <f t="shared" si="85"/>
        <v>507.20000000000005</v>
      </c>
      <c r="BN45" s="45">
        <f t="shared" si="86"/>
        <v>18</v>
      </c>
      <c r="BO45" s="45">
        <f t="shared" si="87"/>
        <v>26</v>
      </c>
      <c r="BP45" s="89">
        <f t="shared" si="88"/>
        <v>1652</v>
      </c>
      <c r="BQ45" s="91"/>
      <c r="BR45" s="41">
        <f t="shared" si="89"/>
        <v>1652</v>
      </c>
      <c r="BS45" s="110">
        <f t="shared" si="90"/>
        <v>-1144.8</v>
      </c>
      <c r="BT45" s="110" t="str">
        <f t="shared" si="91"/>
        <v/>
      </c>
    </row>
    <row r="46" spans="1:72" s="92" customFormat="1" x14ac:dyDescent="0.2">
      <c r="B46" s="183" t="s">
        <v>258</v>
      </c>
      <c r="C46" s="184" t="s">
        <v>136</v>
      </c>
      <c r="D46" s="174"/>
      <c r="E46" s="35" t="s">
        <v>152</v>
      </c>
      <c r="F46" s="185">
        <v>61.3</v>
      </c>
      <c r="G46" s="186"/>
      <c r="H46" s="82"/>
      <c r="I46" s="74">
        <v>15</v>
      </c>
      <c r="J46" s="147"/>
      <c r="K46" s="75">
        <f t="shared" ref="K46" si="92">IF(F46="","",SUM(F46*I46))</f>
        <v>919.5</v>
      </c>
      <c r="L46" s="75" t="str">
        <f t="shared" ref="L46" si="93">IF(G46="","",SUM(G46*J46))</f>
        <v/>
      </c>
      <c r="M46" s="75">
        <f t="shared" ref="M46" si="94">SUM(K46:L46)</f>
        <v>919.5</v>
      </c>
      <c r="N46" s="172">
        <f t="shared" ref="N46" si="95">(O46-M46)/O46</f>
        <v>-0.83899999999999997</v>
      </c>
      <c r="O46" s="178">
        <v>500</v>
      </c>
      <c r="P46" s="179">
        <v>700</v>
      </c>
      <c r="Q46" s="177">
        <v>500</v>
      </c>
      <c r="R46" s="75">
        <f t="shared" ref="R46" si="96">IF(F46="","",SUM(O46/F46))</f>
        <v>8.1566068515497552</v>
      </c>
      <c r="S46" s="94" t="s">
        <v>239</v>
      </c>
      <c r="T46" s="180" t="s">
        <v>154</v>
      </c>
      <c r="U46" s="95"/>
      <c r="V46" s="75">
        <f t="shared" ref="V46" si="97">IF(T46="x",O46,0)</f>
        <v>500</v>
      </c>
      <c r="W46" s="75">
        <f t="shared" ref="W46" si="98">V46*$W$8</f>
        <v>250</v>
      </c>
      <c r="X46" s="75">
        <f t="shared" ref="X46" si="99">V46*$X$8</f>
        <v>75</v>
      </c>
      <c r="Y46" s="78"/>
      <c r="Z46" s="83">
        <f t="shared" si="58"/>
        <v>20</v>
      </c>
      <c r="AA46" s="84">
        <f t="shared" si="9"/>
        <v>3.75</v>
      </c>
      <c r="AB46" s="84">
        <f t="shared" si="59"/>
        <v>0.1</v>
      </c>
      <c r="AC46" s="84">
        <f t="shared" si="48"/>
        <v>20</v>
      </c>
      <c r="AD46" s="37">
        <f t="shared" ref="AD46" si="100">O46</f>
        <v>500</v>
      </c>
      <c r="AE46" s="192">
        <v>17.28</v>
      </c>
      <c r="AF46" s="85">
        <f t="shared" si="61"/>
        <v>0.19</v>
      </c>
      <c r="AG46" s="81">
        <v>3.68</v>
      </c>
      <c r="AH46" s="85">
        <f t="shared" si="62"/>
        <v>0.8</v>
      </c>
      <c r="AI46" s="81"/>
      <c r="AJ46" s="85">
        <f t="shared" si="63"/>
        <v>1.2</v>
      </c>
      <c r="AK46" s="81"/>
      <c r="AL46" s="85">
        <f t="shared" si="64"/>
        <v>0.1</v>
      </c>
      <c r="AM46" s="182">
        <f t="shared" ref="AM46" si="101">F46</f>
        <v>61.3</v>
      </c>
      <c r="AN46" s="85">
        <f t="shared" si="65"/>
        <v>0.18</v>
      </c>
      <c r="AO46" s="38"/>
      <c r="AP46" s="39">
        <f t="shared" si="66"/>
        <v>0.15</v>
      </c>
      <c r="AQ46" s="38"/>
      <c r="AR46" s="40">
        <f t="shared" ref="AR46" si="102">MAX(0,(AF46*(AE46*AA46-AG46-AI46))*(Z46-DUT))</f>
        <v>487.7376000000001</v>
      </c>
      <c r="AS46" s="40">
        <f t="shared" ref="AS46" si="103">AH46*AG46*(Z46-DUT)</f>
        <v>123.64800000000001</v>
      </c>
      <c r="AT46" s="40">
        <f t="shared" ref="AT46" si="104">AJ46*AI46*(Z46-DUT)</f>
        <v>0</v>
      </c>
      <c r="AU46" s="40">
        <f t="shared" ref="AU46" si="105">AL46*AK46*(Z46-DUT)</f>
        <v>0</v>
      </c>
      <c r="AV46" s="40">
        <f t="shared" ref="AV46" si="106">AN46*AM46*(Z46-DUT)</f>
        <v>463.42799999999994</v>
      </c>
      <c r="AW46" s="40">
        <f t="shared" ref="AW46" si="107">AP46*AO46*(Z46-AQ46)</f>
        <v>0</v>
      </c>
      <c r="AX46" s="75">
        <f t="shared" ref="AX46" si="108">SUM(AR46:AW46)</f>
        <v>1074.8136</v>
      </c>
      <c r="AY46" s="75">
        <f t="shared" ref="AY46" si="109">(F46*AA46)*(AB46/3600)*(-0.0045*(Z46+273)+2.5426)*1008*(Z46-DUT)</f>
        <v>330.91462530000007</v>
      </c>
      <c r="AZ46" s="86">
        <f t="shared" ref="AZ46" si="110">IF(AC46=DUT,-(ABS(AD46)/3600)*(-0.0045*(Z46+273)+2.5426)*1008*(AC46-Z46),-(ABS(AD46)/3600)*(-0.0045*(((AC46+Z46)/2)+273)+2.5426)*1008*(AC46-Z46))</f>
        <v>0</v>
      </c>
      <c r="BA46" s="143">
        <f t="shared" ref="BA46" si="111">SUM(AX46:AZ46)</f>
        <v>1405.7282253000001</v>
      </c>
      <c r="BB46" s="144">
        <f t="shared" ref="BB46" si="112">ABS(BA46*(sikkerhetstill/100))</f>
        <v>281.14564506000005</v>
      </c>
      <c r="BC46" s="143">
        <f t="shared" ref="BC46" si="113">MAX(0,AX46+AY46+AZ46+BB46)</f>
        <v>1686.8738703600002</v>
      </c>
      <c r="BD46" s="87">
        <v>390</v>
      </c>
      <c r="BE46" s="143">
        <f t="shared" ref="BE46" si="114">IF(F46=0,0,IF(F46="","",BD46/F46))</f>
        <v>6.3621533442088092</v>
      </c>
      <c r="BF46" s="88"/>
      <c r="BG46" s="89">
        <f t="shared" ref="BG46" si="115">G46*$BG$6</f>
        <v>0</v>
      </c>
      <c r="BH46" s="89">
        <f t="shared" ref="BH46" si="116">F46*$BH$6</f>
        <v>490.4</v>
      </c>
      <c r="BI46" s="89">
        <f t="shared" si="82"/>
        <v>700</v>
      </c>
      <c r="BJ46" s="90">
        <f t="shared" si="83"/>
        <v>0.85</v>
      </c>
      <c r="BK46" s="89">
        <f t="shared" ref="BK46" si="117">AG46*BI46*(1-BJ46)</f>
        <v>386.40000000000003</v>
      </c>
      <c r="BL46" s="109"/>
      <c r="BM46" s="110">
        <f t="shared" ref="BM46" si="118">BG46+BH46+BK46+BL46</f>
        <v>876.8</v>
      </c>
      <c r="BN46" s="45">
        <f t="shared" si="86"/>
        <v>18</v>
      </c>
      <c r="BO46" s="45">
        <f t="shared" si="87"/>
        <v>26</v>
      </c>
      <c r="BP46" s="89">
        <f t="shared" ref="BP46" si="119">O46*0.35*(BO46-BN46)</f>
        <v>1400</v>
      </c>
      <c r="BQ46" s="91"/>
      <c r="BR46" s="41">
        <f t="shared" ref="BR46" si="120">SUM(BP46:BQ46)</f>
        <v>1400</v>
      </c>
      <c r="BS46" s="110">
        <f t="shared" ref="BS46" si="121">BM46-BR46</f>
        <v>-523.20000000000005</v>
      </c>
      <c r="BT46" s="110" t="str">
        <f t="shared" ref="BT46" si="122">IF(BS46&gt;0,BS46/(0.35*(BO46-BN46)),"")</f>
        <v/>
      </c>
    </row>
    <row r="47" spans="1:72" s="92" customFormat="1" x14ac:dyDescent="0.2">
      <c r="B47" s="183" t="s">
        <v>204</v>
      </c>
      <c r="C47" s="184" t="s">
        <v>132</v>
      </c>
      <c r="D47" s="174"/>
      <c r="E47" s="35" t="s">
        <v>152</v>
      </c>
      <c r="F47" s="185">
        <v>15.4</v>
      </c>
      <c r="G47" s="186"/>
      <c r="H47" s="82"/>
      <c r="I47" s="74">
        <v>15</v>
      </c>
      <c r="J47" s="147"/>
      <c r="K47" s="75">
        <f t="shared" si="50"/>
        <v>231</v>
      </c>
      <c r="L47" s="75" t="str">
        <f t="shared" si="51"/>
        <v/>
      </c>
      <c r="M47" s="75">
        <f t="shared" si="52"/>
        <v>231</v>
      </c>
      <c r="N47" s="172">
        <f t="shared" si="53"/>
        <v>0.53800000000000003</v>
      </c>
      <c r="O47" s="178">
        <v>500</v>
      </c>
      <c r="P47" s="179">
        <v>700</v>
      </c>
      <c r="Q47" s="177">
        <v>500</v>
      </c>
      <c r="R47" s="75">
        <f t="shared" si="54"/>
        <v>32.467532467532465</v>
      </c>
      <c r="S47" s="94" t="s">
        <v>239</v>
      </c>
      <c r="T47" s="180" t="s">
        <v>154</v>
      </c>
      <c r="U47" s="95"/>
      <c r="V47" s="75">
        <f t="shared" si="55"/>
        <v>500</v>
      </c>
      <c r="W47" s="75">
        <f t="shared" si="56"/>
        <v>250</v>
      </c>
      <c r="X47" s="75">
        <f t="shared" si="57"/>
        <v>75</v>
      </c>
      <c r="Y47" s="78"/>
      <c r="Z47" s="83">
        <f t="shared" si="58"/>
        <v>20</v>
      </c>
      <c r="AA47" s="84">
        <f t="shared" si="9"/>
        <v>3.75</v>
      </c>
      <c r="AB47" s="84">
        <f t="shared" si="59"/>
        <v>0.1</v>
      </c>
      <c r="AC47" s="84">
        <f t="shared" si="48"/>
        <v>20</v>
      </c>
      <c r="AD47" s="37">
        <f t="shared" si="60"/>
        <v>500</v>
      </c>
      <c r="AE47" s="192"/>
      <c r="AF47" s="85">
        <f t="shared" si="61"/>
        <v>0.19</v>
      </c>
      <c r="AG47" s="81"/>
      <c r="AH47" s="85">
        <f t="shared" si="62"/>
        <v>0.8</v>
      </c>
      <c r="AI47" s="81"/>
      <c r="AJ47" s="85">
        <f t="shared" si="63"/>
        <v>1.2</v>
      </c>
      <c r="AK47" s="81"/>
      <c r="AL47" s="85">
        <f t="shared" si="64"/>
        <v>0.1</v>
      </c>
      <c r="AM47" s="182">
        <f t="shared" si="47"/>
        <v>15.4</v>
      </c>
      <c r="AN47" s="85">
        <f t="shared" si="65"/>
        <v>0.18</v>
      </c>
      <c r="AO47" s="38"/>
      <c r="AP47" s="39">
        <f t="shared" si="66"/>
        <v>0.15</v>
      </c>
      <c r="AQ47" s="38"/>
      <c r="AR47" s="40">
        <f t="shared" si="67"/>
        <v>0</v>
      </c>
      <c r="AS47" s="40">
        <f t="shared" si="68"/>
        <v>0</v>
      </c>
      <c r="AT47" s="40">
        <f t="shared" si="69"/>
        <v>0</v>
      </c>
      <c r="AU47" s="40">
        <f t="shared" si="70"/>
        <v>0</v>
      </c>
      <c r="AV47" s="40">
        <f t="shared" si="71"/>
        <v>116.42399999999999</v>
      </c>
      <c r="AW47" s="40">
        <f t="shared" si="72"/>
        <v>0</v>
      </c>
      <c r="AX47" s="75">
        <f t="shared" si="73"/>
        <v>116.42399999999999</v>
      </c>
      <c r="AY47" s="75">
        <f t="shared" si="74"/>
        <v>83.13352740000002</v>
      </c>
      <c r="AZ47" s="86">
        <f t="shared" si="75"/>
        <v>0</v>
      </c>
      <c r="BA47" s="143">
        <f t="shared" si="76"/>
        <v>199.55752740000003</v>
      </c>
      <c r="BB47" s="144">
        <f t="shared" si="77"/>
        <v>39.91150548000001</v>
      </c>
      <c r="BC47" s="143">
        <f t="shared" si="78"/>
        <v>239.46903288000004</v>
      </c>
      <c r="BD47" s="87">
        <v>390</v>
      </c>
      <c r="BE47" s="143">
        <f t="shared" si="79"/>
        <v>25.324675324675326</v>
      </c>
      <c r="BF47" s="88"/>
      <c r="BG47" s="89">
        <f t="shared" si="80"/>
        <v>0</v>
      </c>
      <c r="BH47" s="89">
        <f t="shared" si="81"/>
        <v>123.2</v>
      </c>
      <c r="BI47" s="89">
        <f t="shared" si="82"/>
        <v>700</v>
      </c>
      <c r="BJ47" s="90">
        <f t="shared" si="83"/>
        <v>0.85</v>
      </c>
      <c r="BK47" s="89">
        <f t="shared" si="84"/>
        <v>0</v>
      </c>
      <c r="BL47" s="109"/>
      <c r="BM47" s="110">
        <f t="shared" si="85"/>
        <v>123.2</v>
      </c>
      <c r="BN47" s="45">
        <f t="shared" si="86"/>
        <v>18</v>
      </c>
      <c r="BO47" s="45">
        <f t="shared" si="87"/>
        <v>26</v>
      </c>
      <c r="BP47" s="89">
        <f t="shared" si="88"/>
        <v>1400</v>
      </c>
      <c r="BQ47" s="91"/>
      <c r="BR47" s="41">
        <f t="shared" si="89"/>
        <v>1400</v>
      </c>
      <c r="BS47" s="110">
        <f t="shared" si="90"/>
        <v>-1276.8</v>
      </c>
      <c r="BT47" s="110" t="str">
        <f t="shared" si="91"/>
        <v/>
      </c>
    </row>
    <row r="48" spans="1:72" s="92" customFormat="1" x14ac:dyDescent="0.2">
      <c r="B48" s="183" t="s">
        <v>205</v>
      </c>
      <c r="C48" s="184" t="s">
        <v>133</v>
      </c>
      <c r="D48" s="174"/>
      <c r="E48" s="93" t="s">
        <v>152</v>
      </c>
      <c r="F48" s="185">
        <v>59.1</v>
      </c>
      <c r="G48" s="186"/>
      <c r="H48" s="82"/>
      <c r="I48" s="74">
        <v>3.6</v>
      </c>
      <c r="J48" s="147"/>
      <c r="K48" s="75">
        <f t="shared" si="50"/>
        <v>212.76000000000002</v>
      </c>
      <c r="L48" s="75" t="str">
        <f t="shared" si="51"/>
        <v/>
      </c>
      <c r="M48" s="75">
        <f t="shared" si="52"/>
        <v>212.76000000000002</v>
      </c>
      <c r="N48" s="172">
        <f t="shared" si="53"/>
        <v>3.2909090909090818E-2</v>
      </c>
      <c r="O48" s="178">
        <v>220</v>
      </c>
      <c r="P48" s="179">
        <v>220</v>
      </c>
      <c r="Q48" s="177"/>
      <c r="R48" s="75">
        <f t="shared" si="54"/>
        <v>3.7225042301184432</v>
      </c>
      <c r="S48" s="94" t="s">
        <v>239</v>
      </c>
      <c r="T48" s="180"/>
      <c r="U48" s="95"/>
      <c r="V48" s="75">
        <f t="shared" si="55"/>
        <v>0</v>
      </c>
      <c r="W48" s="75">
        <f t="shared" si="56"/>
        <v>0</v>
      </c>
      <c r="X48" s="75">
        <f t="shared" si="57"/>
        <v>0</v>
      </c>
      <c r="Y48" s="78"/>
      <c r="Z48" s="83">
        <f t="shared" si="58"/>
        <v>20</v>
      </c>
      <c r="AA48" s="84">
        <f t="shared" si="9"/>
        <v>3.75</v>
      </c>
      <c r="AB48" s="84">
        <f t="shared" si="59"/>
        <v>0.1</v>
      </c>
      <c r="AC48" s="84">
        <f t="shared" si="48"/>
        <v>20</v>
      </c>
      <c r="AD48" s="37">
        <f t="shared" si="60"/>
        <v>220</v>
      </c>
      <c r="AE48" s="192"/>
      <c r="AF48" s="85">
        <f t="shared" si="61"/>
        <v>0.19</v>
      </c>
      <c r="AG48" s="81"/>
      <c r="AH48" s="85">
        <f t="shared" si="62"/>
        <v>0.8</v>
      </c>
      <c r="AI48" s="81"/>
      <c r="AJ48" s="85">
        <f t="shared" si="63"/>
        <v>1.2</v>
      </c>
      <c r="AK48" s="81"/>
      <c r="AL48" s="85">
        <f t="shared" si="64"/>
        <v>0.1</v>
      </c>
      <c r="AM48" s="182">
        <f t="shared" si="47"/>
        <v>59.1</v>
      </c>
      <c r="AN48" s="85">
        <f t="shared" si="65"/>
        <v>0.18</v>
      </c>
      <c r="AO48" s="38"/>
      <c r="AP48" s="39">
        <f t="shared" si="66"/>
        <v>0.15</v>
      </c>
      <c r="AQ48" s="38"/>
      <c r="AR48" s="40">
        <f t="shared" si="67"/>
        <v>0</v>
      </c>
      <c r="AS48" s="40">
        <f t="shared" si="68"/>
        <v>0</v>
      </c>
      <c r="AT48" s="40">
        <f t="shared" si="69"/>
        <v>0</v>
      </c>
      <c r="AU48" s="40">
        <f t="shared" si="70"/>
        <v>0</v>
      </c>
      <c r="AV48" s="40">
        <f t="shared" si="71"/>
        <v>446.79599999999999</v>
      </c>
      <c r="AW48" s="40">
        <f t="shared" si="72"/>
        <v>0</v>
      </c>
      <c r="AX48" s="75">
        <f t="shared" si="73"/>
        <v>446.79599999999999</v>
      </c>
      <c r="AY48" s="75">
        <f t="shared" si="74"/>
        <v>319.03840710000003</v>
      </c>
      <c r="AZ48" s="86">
        <f t="shared" si="75"/>
        <v>0</v>
      </c>
      <c r="BA48" s="143">
        <f t="shared" si="76"/>
        <v>765.83440710000002</v>
      </c>
      <c r="BB48" s="144">
        <f t="shared" si="77"/>
        <v>153.16688142000001</v>
      </c>
      <c r="BC48" s="143">
        <f t="shared" si="78"/>
        <v>919.00128852</v>
      </c>
      <c r="BD48" s="87">
        <v>1700</v>
      </c>
      <c r="BE48" s="143">
        <f t="shared" si="79"/>
        <v>28.764805414551606</v>
      </c>
      <c r="BF48" s="88"/>
      <c r="BG48" s="89">
        <f t="shared" si="80"/>
        <v>0</v>
      </c>
      <c r="BH48" s="89">
        <f t="shared" si="81"/>
        <v>472.8</v>
      </c>
      <c r="BI48" s="89">
        <f t="shared" si="82"/>
        <v>700</v>
      </c>
      <c r="BJ48" s="90">
        <f t="shared" si="83"/>
        <v>0.85</v>
      </c>
      <c r="BK48" s="89">
        <f t="shared" si="84"/>
        <v>0</v>
      </c>
      <c r="BL48" s="109"/>
      <c r="BM48" s="110">
        <f t="shared" si="85"/>
        <v>472.8</v>
      </c>
      <c r="BN48" s="45">
        <f t="shared" si="86"/>
        <v>18</v>
      </c>
      <c r="BO48" s="45">
        <f t="shared" si="87"/>
        <v>26</v>
      </c>
      <c r="BP48" s="89">
        <f t="shared" si="88"/>
        <v>616</v>
      </c>
      <c r="BQ48" s="91"/>
      <c r="BR48" s="41">
        <f t="shared" si="89"/>
        <v>616</v>
      </c>
      <c r="BS48" s="110">
        <f t="shared" si="90"/>
        <v>-143.19999999999999</v>
      </c>
      <c r="BT48" s="110" t="str">
        <f t="shared" si="91"/>
        <v/>
      </c>
    </row>
    <row r="49" spans="2:72" s="92" customFormat="1" x14ac:dyDescent="0.2">
      <c r="B49" s="183" t="s">
        <v>207</v>
      </c>
      <c r="C49" s="184" t="s">
        <v>134</v>
      </c>
      <c r="D49" s="174"/>
      <c r="E49" s="93" t="s">
        <v>152</v>
      </c>
      <c r="F49" s="185">
        <v>23.6</v>
      </c>
      <c r="G49" s="186"/>
      <c r="H49" s="82"/>
      <c r="I49" s="74">
        <v>3.6</v>
      </c>
      <c r="J49" s="147"/>
      <c r="K49" s="75">
        <f t="shared" si="50"/>
        <v>84.960000000000008</v>
      </c>
      <c r="L49" s="75" t="str">
        <f t="shared" si="51"/>
        <v/>
      </c>
      <c r="M49" s="75">
        <f t="shared" si="52"/>
        <v>84.960000000000008</v>
      </c>
      <c r="N49" s="172">
        <f t="shared" si="53"/>
        <v>0.15039999999999992</v>
      </c>
      <c r="O49" s="178">
        <v>100</v>
      </c>
      <c r="P49" s="179">
        <v>100</v>
      </c>
      <c r="Q49" s="177"/>
      <c r="R49" s="75">
        <f t="shared" si="54"/>
        <v>4.2372881355932197</v>
      </c>
      <c r="S49" s="94" t="s">
        <v>239</v>
      </c>
      <c r="T49" s="180"/>
      <c r="U49" s="95"/>
      <c r="V49" s="75">
        <f t="shared" si="55"/>
        <v>0</v>
      </c>
      <c r="W49" s="75">
        <f t="shared" si="56"/>
        <v>0</v>
      </c>
      <c r="X49" s="75">
        <f t="shared" si="57"/>
        <v>0</v>
      </c>
      <c r="Y49" s="78"/>
      <c r="Z49" s="83">
        <f t="shared" si="58"/>
        <v>20</v>
      </c>
      <c r="AA49" s="84">
        <f t="shared" si="9"/>
        <v>3.75</v>
      </c>
      <c r="AB49" s="84">
        <f t="shared" si="59"/>
        <v>0.1</v>
      </c>
      <c r="AC49" s="84">
        <f t="shared" si="48"/>
        <v>20</v>
      </c>
      <c r="AD49" s="37">
        <f t="shared" si="60"/>
        <v>100</v>
      </c>
      <c r="AE49" s="192">
        <v>4.0999999999999996</v>
      </c>
      <c r="AF49" s="85">
        <f t="shared" si="61"/>
        <v>0.19</v>
      </c>
      <c r="AG49" s="81"/>
      <c r="AH49" s="85">
        <f t="shared" si="62"/>
        <v>0.8</v>
      </c>
      <c r="AI49" s="81"/>
      <c r="AJ49" s="85">
        <f t="shared" si="63"/>
        <v>1.2</v>
      </c>
      <c r="AK49" s="81"/>
      <c r="AL49" s="85">
        <f t="shared" si="64"/>
        <v>0.1</v>
      </c>
      <c r="AM49" s="182">
        <f t="shared" si="47"/>
        <v>23.6</v>
      </c>
      <c r="AN49" s="85">
        <f t="shared" si="65"/>
        <v>0.18</v>
      </c>
      <c r="AO49" s="38"/>
      <c r="AP49" s="39">
        <f t="shared" si="66"/>
        <v>0.15</v>
      </c>
      <c r="AQ49" s="38"/>
      <c r="AR49" s="40">
        <f t="shared" si="67"/>
        <v>122.69249999999998</v>
      </c>
      <c r="AS49" s="40">
        <f t="shared" si="68"/>
        <v>0</v>
      </c>
      <c r="AT49" s="40">
        <f t="shared" si="69"/>
        <v>0</v>
      </c>
      <c r="AU49" s="40">
        <f t="shared" si="70"/>
        <v>0</v>
      </c>
      <c r="AV49" s="40">
        <f t="shared" si="71"/>
        <v>178.416</v>
      </c>
      <c r="AW49" s="40">
        <f t="shared" si="72"/>
        <v>0</v>
      </c>
      <c r="AX49" s="75">
        <f t="shared" si="73"/>
        <v>301.10849999999999</v>
      </c>
      <c r="AY49" s="75">
        <f t="shared" si="74"/>
        <v>127.39943160000003</v>
      </c>
      <c r="AZ49" s="86">
        <f t="shared" si="75"/>
        <v>0</v>
      </c>
      <c r="BA49" s="143">
        <f t="shared" si="76"/>
        <v>428.50793160000001</v>
      </c>
      <c r="BB49" s="144">
        <f t="shared" si="77"/>
        <v>85.701586320000004</v>
      </c>
      <c r="BC49" s="143">
        <f t="shared" si="78"/>
        <v>514.20951792000005</v>
      </c>
      <c r="BD49" s="87">
        <v>780</v>
      </c>
      <c r="BE49" s="143">
        <f t="shared" si="79"/>
        <v>33.050847457627114</v>
      </c>
      <c r="BF49" s="88"/>
      <c r="BG49" s="89">
        <f t="shared" si="80"/>
        <v>0</v>
      </c>
      <c r="BH49" s="89">
        <f t="shared" si="81"/>
        <v>188.8</v>
      </c>
      <c r="BI49" s="89">
        <f t="shared" si="82"/>
        <v>700</v>
      </c>
      <c r="BJ49" s="90">
        <f t="shared" si="83"/>
        <v>0.85</v>
      </c>
      <c r="BK49" s="89">
        <f t="shared" si="84"/>
        <v>0</v>
      </c>
      <c r="BL49" s="109"/>
      <c r="BM49" s="110">
        <f t="shared" si="85"/>
        <v>188.8</v>
      </c>
      <c r="BN49" s="45">
        <f t="shared" si="86"/>
        <v>18</v>
      </c>
      <c r="BO49" s="45">
        <f t="shared" si="87"/>
        <v>26</v>
      </c>
      <c r="BP49" s="89">
        <f t="shared" si="88"/>
        <v>280</v>
      </c>
      <c r="BQ49" s="91"/>
      <c r="BR49" s="41">
        <f t="shared" si="89"/>
        <v>280</v>
      </c>
      <c r="BS49" s="110">
        <f t="shared" si="90"/>
        <v>-91.199999999999989</v>
      </c>
      <c r="BT49" s="110" t="str">
        <f t="shared" si="91"/>
        <v/>
      </c>
    </row>
    <row r="50" spans="2:72" s="92" customFormat="1" x14ac:dyDescent="0.2">
      <c r="B50" s="183" t="s">
        <v>208</v>
      </c>
      <c r="C50" s="184" t="s">
        <v>133</v>
      </c>
      <c r="D50" s="174"/>
      <c r="E50" s="93" t="s">
        <v>152</v>
      </c>
      <c r="F50" s="185">
        <v>28.3</v>
      </c>
      <c r="G50" s="186"/>
      <c r="H50" s="82"/>
      <c r="I50" s="74">
        <v>3.6</v>
      </c>
      <c r="J50" s="147"/>
      <c r="K50" s="75">
        <f t="shared" si="50"/>
        <v>101.88000000000001</v>
      </c>
      <c r="L50" s="75" t="str">
        <f t="shared" si="51"/>
        <v/>
      </c>
      <c r="M50" s="75">
        <f t="shared" si="52"/>
        <v>101.88000000000001</v>
      </c>
      <c r="N50" s="172">
        <f t="shared" si="53"/>
        <v>0.46378947368421047</v>
      </c>
      <c r="O50" s="178">
        <v>190</v>
      </c>
      <c r="P50" s="179">
        <v>190</v>
      </c>
      <c r="Q50" s="177"/>
      <c r="R50" s="75">
        <f t="shared" si="54"/>
        <v>6.7137809187279149</v>
      </c>
      <c r="S50" s="94" t="s">
        <v>239</v>
      </c>
      <c r="T50" s="180"/>
      <c r="U50" s="95"/>
      <c r="V50" s="75">
        <f t="shared" si="55"/>
        <v>0</v>
      </c>
      <c r="W50" s="75">
        <f t="shared" si="56"/>
        <v>0</v>
      </c>
      <c r="X50" s="75">
        <f t="shared" si="57"/>
        <v>0</v>
      </c>
      <c r="Y50" s="78"/>
      <c r="Z50" s="83">
        <f t="shared" si="58"/>
        <v>20</v>
      </c>
      <c r="AA50" s="84">
        <f t="shared" si="9"/>
        <v>3.75</v>
      </c>
      <c r="AB50" s="84">
        <f t="shared" si="59"/>
        <v>0.1</v>
      </c>
      <c r="AC50" s="84">
        <f t="shared" si="48"/>
        <v>20</v>
      </c>
      <c r="AD50" s="37">
        <f t="shared" si="60"/>
        <v>190</v>
      </c>
      <c r="AE50" s="192">
        <v>15.54</v>
      </c>
      <c r="AF50" s="85">
        <f t="shared" si="61"/>
        <v>0.19</v>
      </c>
      <c r="AG50" s="81"/>
      <c r="AH50" s="85">
        <f t="shared" si="62"/>
        <v>0.8</v>
      </c>
      <c r="AI50" s="81"/>
      <c r="AJ50" s="85">
        <f t="shared" si="63"/>
        <v>1.2</v>
      </c>
      <c r="AK50" s="81"/>
      <c r="AL50" s="85">
        <f t="shared" si="64"/>
        <v>0.1</v>
      </c>
      <c r="AM50" s="182">
        <f t="shared" si="47"/>
        <v>28.3</v>
      </c>
      <c r="AN50" s="85">
        <f t="shared" si="65"/>
        <v>0.18</v>
      </c>
      <c r="AO50" s="38"/>
      <c r="AP50" s="39">
        <f t="shared" si="66"/>
        <v>0.15</v>
      </c>
      <c r="AQ50" s="38"/>
      <c r="AR50" s="40">
        <f t="shared" si="67"/>
        <v>465.03450000000004</v>
      </c>
      <c r="AS50" s="40">
        <f t="shared" si="68"/>
        <v>0</v>
      </c>
      <c r="AT50" s="40">
        <f t="shared" si="69"/>
        <v>0</v>
      </c>
      <c r="AU50" s="40">
        <f t="shared" si="70"/>
        <v>0</v>
      </c>
      <c r="AV50" s="40">
        <f t="shared" si="71"/>
        <v>213.94800000000001</v>
      </c>
      <c r="AW50" s="40">
        <f t="shared" si="72"/>
        <v>0</v>
      </c>
      <c r="AX50" s="75">
        <f t="shared" si="73"/>
        <v>678.98250000000007</v>
      </c>
      <c r="AY50" s="75">
        <f t="shared" si="74"/>
        <v>152.77135230000005</v>
      </c>
      <c r="AZ50" s="86">
        <f t="shared" si="75"/>
        <v>0</v>
      </c>
      <c r="BA50" s="143">
        <f t="shared" si="76"/>
        <v>831.75385230000006</v>
      </c>
      <c r="BB50" s="144">
        <f t="shared" si="77"/>
        <v>166.35077046000004</v>
      </c>
      <c r="BC50" s="143">
        <f t="shared" si="78"/>
        <v>998.1046227600001</v>
      </c>
      <c r="BD50" s="87">
        <v>1000</v>
      </c>
      <c r="BE50" s="143">
        <f t="shared" si="79"/>
        <v>35.335689045936398</v>
      </c>
      <c r="BF50" s="88"/>
      <c r="BG50" s="89">
        <f t="shared" si="80"/>
        <v>0</v>
      </c>
      <c r="BH50" s="89">
        <f t="shared" si="81"/>
        <v>226.4</v>
      </c>
      <c r="BI50" s="89">
        <f t="shared" si="82"/>
        <v>700</v>
      </c>
      <c r="BJ50" s="90">
        <f t="shared" si="83"/>
        <v>0.85</v>
      </c>
      <c r="BK50" s="89">
        <f t="shared" si="84"/>
        <v>0</v>
      </c>
      <c r="BL50" s="109"/>
      <c r="BM50" s="110">
        <f t="shared" si="85"/>
        <v>226.4</v>
      </c>
      <c r="BN50" s="45">
        <f t="shared" si="86"/>
        <v>18</v>
      </c>
      <c r="BO50" s="45">
        <f t="shared" si="87"/>
        <v>26</v>
      </c>
      <c r="BP50" s="89">
        <f t="shared" si="88"/>
        <v>532</v>
      </c>
      <c r="BQ50" s="91"/>
      <c r="BR50" s="41">
        <f t="shared" si="89"/>
        <v>532</v>
      </c>
      <c r="BS50" s="110">
        <f t="shared" si="90"/>
        <v>-305.60000000000002</v>
      </c>
      <c r="BT50" s="110" t="str">
        <f t="shared" si="91"/>
        <v/>
      </c>
    </row>
    <row r="51" spans="2:72" s="92" customFormat="1" x14ac:dyDescent="0.2">
      <c r="B51" s="183" t="s">
        <v>235</v>
      </c>
      <c r="C51" s="184" t="s">
        <v>138</v>
      </c>
      <c r="D51" s="174"/>
      <c r="E51" s="93" t="s">
        <v>152</v>
      </c>
      <c r="F51" s="185">
        <v>1220</v>
      </c>
      <c r="G51" s="186">
        <v>120</v>
      </c>
      <c r="H51" s="82"/>
      <c r="I51" s="74">
        <f>$I$7</f>
        <v>7.2</v>
      </c>
      <c r="J51" s="147">
        <v>60</v>
      </c>
      <c r="K51" s="75">
        <f t="shared" si="50"/>
        <v>8784</v>
      </c>
      <c r="L51" s="75">
        <f t="shared" si="51"/>
        <v>7200</v>
      </c>
      <c r="M51" s="75">
        <f t="shared" si="52"/>
        <v>15984</v>
      </c>
      <c r="N51" s="172">
        <f t="shared" si="53"/>
        <v>1E-3</v>
      </c>
      <c r="O51" s="178">
        <v>16000</v>
      </c>
      <c r="P51" s="179">
        <v>16000</v>
      </c>
      <c r="Q51" s="177"/>
      <c r="R51" s="75">
        <f t="shared" si="54"/>
        <v>13.114754098360656</v>
      </c>
      <c r="S51" s="94" t="s">
        <v>238</v>
      </c>
      <c r="T51" s="180" t="s">
        <v>154</v>
      </c>
      <c r="U51" s="95"/>
      <c r="V51" s="75">
        <f t="shared" si="55"/>
        <v>16000</v>
      </c>
      <c r="W51" s="75">
        <f t="shared" si="56"/>
        <v>8000</v>
      </c>
      <c r="X51" s="75">
        <f t="shared" si="57"/>
        <v>2400</v>
      </c>
      <c r="Y51" s="78"/>
      <c r="Z51" s="83">
        <f t="shared" si="58"/>
        <v>20</v>
      </c>
      <c r="AA51" s="84" t="s">
        <v>155</v>
      </c>
      <c r="AB51" s="84">
        <f t="shared" si="59"/>
        <v>0.1</v>
      </c>
      <c r="AC51" s="84" t="s">
        <v>237</v>
      </c>
      <c r="AD51" s="37">
        <f t="shared" si="60"/>
        <v>16000</v>
      </c>
      <c r="AE51" s="192">
        <v>71.94</v>
      </c>
      <c r="AF51" s="85">
        <f t="shared" si="61"/>
        <v>0.19</v>
      </c>
      <c r="AG51" s="81">
        <v>11.47</v>
      </c>
      <c r="AH51" s="85">
        <f t="shared" si="62"/>
        <v>0.8</v>
      </c>
      <c r="AI51" s="81"/>
      <c r="AJ51" s="85">
        <f t="shared" si="63"/>
        <v>1.2</v>
      </c>
      <c r="AK51" s="81">
        <v>1220</v>
      </c>
      <c r="AL51" s="85">
        <f t="shared" si="64"/>
        <v>0.1</v>
      </c>
      <c r="AM51" s="182">
        <f t="shared" si="47"/>
        <v>1220</v>
      </c>
      <c r="AN51" s="85">
        <f t="shared" si="65"/>
        <v>0.18</v>
      </c>
      <c r="AO51" s="38"/>
      <c r="AP51" s="39">
        <f t="shared" si="66"/>
        <v>0.15</v>
      </c>
      <c r="AQ51" s="38"/>
      <c r="AR51" s="40">
        <f t="shared" si="67"/>
        <v>5304.8326799999995</v>
      </c>
      <c r="AS51" s="40">
        <f t="shared" si="68"/>
        <v>385.392</v>
      </c>
      <c r="AT51" s="40">
        <f t="shared" si="69"/>
        <v>0</v>
      </c>
      <c r="AU51" s="40">
        <f t="shared" si="70"/>
        <v>5124</v>
      </c>
      <c r="AV51" s="40">
        <f t="shared" si="71"/>
        <v>9223.1999999999989</v>
      </c>
      <c r="AW51" s="40">
        <f t="shared" si="72"/>
        <v>0</v>
      </c>
      <c r="AX51" s="75">
        <f t="shared" si="73"/>
        <v>20037.424679999996</v>
      </c>
      <c r="AY51" s="75">
        <f t="shared" si="74"/>
        <v>16508.663068800004</v>
      </c>
      <c r="AZ51" s="86">
        <f t="shared" si="75"/>
        <v>-37893.856000000007</v>
      </c>
      <c r="BA51" s="143">
        <f t="shared" si="76"/>
        <v>-1347.7682512000101</v>
      </c>
      <c r="BB51" s="144">
        <f t="shared" si="77"/>
        <v>269.55365024000201</v>
      </c>
      <c r="BC51" s="143">
        <f t="shared" si="78"/>
        <v>0</v>
      </c>
      <c r="BD51" s="87">
        <v>0</v>
      </c>
      <c r="BE51" s="143">
        <f t="shared" si="79"/>
        <v>0</v>
      </c>
      <c r="BF51" s="88"/>
      <c r="BG51" s="89">
        <f t="shared" si="80"/>
        <v>9600</v>
      </c>
      <c r="BH51" s="89">
        <f t="shared" si="81"/>
        <v>9760</v>
      </c>
      <c r="BI51" s="89">
        <f t="shared" si="82"/>
        <v>700</v>
      </c>
      <c r="BJ51" s="90">
        <f t="shared" si="83"/>
        <v>0.85</v>
      </c>
      <c r="BK51" s="89">
        <f t="shared" si="84"/>
        <v>1204.3500000000001</v>
      </c>
      <c r="BL51" s="109"/>
      <c r="BM51" s="110">
        <f t="shared" si="85"/>
        <v>20564.349999999999</v>
      </c>
      <c r="BN51" s="45">
        <f t="shared" si="86"/>
        <v>18</v>
      </c>
      <c r="BO51" s="45">
        <f t="shared" si="87"/>
        <v>26</v>
      </c>
      <c r="BP51" s="89">
        <f t="shared" si="88"/>
        <v>44800</v>
      </c>
      <c r="BQ51" s="91"/>
      <c r="BR51" s="41">
        <f t="shared" si="89"/>
        <v>44800</v>
      </c>
      <c r="BS51" s="110">
        <f t="shared" si="90"/>
        <v>-24235.65</v>
      </c>
      <c r="BT51" s="110" t="str">
        <f t="shared" si="91"/>
        <v/>
      </c>
    </row>
    <row r="52" spans="2:72" s="227" customFormat="1" ht="13.5" thickBot="1" x14ac:dyDescent="0.25">
      <c r="B52" s="282" t="s">
        <v>206</v>
      </c>
      <c r="C52" s="283" t="s">
        <v>135</v>
      </c>
      <c r="D52" s="284"/>
      <c r="E52" s="285" t="s">
        <v>152</v>
      </c>
      <c r="F52" s="286">
        <v>1.5</v>
      </c>
      <c r="G52" s="287"/>
      <c r="H52" s="221"/>
      <c r="I52" s="288">
        <f>$I$7</f>
        <v>7.2</v>
      </c>
      <c r="J52" s="289"/>
      <c r="K52" s="290">
        <f t="shared" si="50"/>
        <v>10.8</v>
      </c>
      <c r="L52" s="290" t="str">
        <f t="shared" si="51"/>
        <v/>
      </c>
      <c r="M52" s="290">
        <f t="shared" si="52"/>
        <v>10.8</v>
      </c>
      <c r="N52" s="291">
        <f t="shared" si="53"/>
        <v>0.78400000000000003</v>
      </c>
      <c r="O52" s="292">
        <v>50</v>
      </c>
      <c r="P52" s="293">
        <v>50</v>
      </c>
      <c r="Q52" s="294"/>
      <c r="R52" s="290">
        <f t="shared" si="54"/>
        <v>33.333333333333336</v>
      </c>
      <c r="S52" s="295" t="s">
        <v>239</v>
      </c>
      <c r="T52" s="296"/>
      <c r="U52" s="297"/>
      <c r="V52" s="290">
        <f t="shared" si="55"/>
        <v>0</v>
      </c>
      <c r="W52" s="290">
        <f t="shared" si="56"/>
        <v>0</v>
      </c>
      <c r="X52" s="290">
        <f t="shared" si="57"/>
        <v>0</v>
      </c>
      <c r="Y52" s="222"/>
      <c r="Z52" s="298">
        <f t="shared" si="58"/>
        <v>20</v>
      </c>
      <c r="AA52" s="299">
        <f>etasjeh</f>
        <v>3.75</v>
      </c>
      <c r="AB52" s="299">
        <f t="shared" si="59"/>
        <v>0.1</v>
      </c>
      <c r="AC52" s="299">
        <f t="shared" ref="AC52:AC66" si="123">tilltemper</f>
        <v>20</v>
      </c>
      <c r="AD52" s="300">
        <f t="shared" si="60"/>
        <v>50</v>
      </c>
      <c r="AE52" s="301"/>
      <c r="AF52" s="302">
        <f t="shared" si="61"/>
        <v>0.19</v>
      </c>
      <c r="AG52" s="303"/>
      <c r="AH52" s="302">
        <f t="shared" si="62"/>
        <v>0.8</v>
      </c>
      <c r="AI52" s="303"/>
      <c r="AJ52" s="302">
        <f t="shared" si="63"/>
        <v>1.2</v>
      </c>
      <c r="AK52" s="303"/>
      <c r="AL52" s="302">
        <f t="shared" si="64"/>
        <v>0.1</v>
      </c>
      <c r="AM52" s="304">
        <f t="shared" si="47"/>
        <v>1.5</v>
      </c>
      <c r="AN52" s="302">
        <f t="shared" si="65"/>
        <v>0.18</v>
      </c>
      <c r="AO52" s="305"/>
      <c r="AP52" s="306">
        <f t="shared" si="66"/>
        <v>0.15</v>
      </c>
      <c r="AQ52" s="305"/>
      <c r="AR52" s="307">
        <f t="shared" si="67"/>
        <v>0</v>
      </c>
      <c r="AS52" s="307">
        <f t="shared" si="68"/>
        <v>0</v>
      </c>
      <c r="AT52" s="307">
        <f t="shared" si="69"/>
        <v>0</v>
      </c>
      <c r="AU52" s="307">
        <f t="shared" si="70"/>
        <v>0</v>
      </c>
      <c r="AV52" s="307">
        <f t="shared" si="71"/>
        <v>11.34</v>
      </c>
      <c r="AW52" s="307">
        <f t="shared" si="72"/>
        <v>0</v>
      </c>
      <c r="AX52" s="290">
        <f t="shared" si="73"/>
        <v>11.34</v>
      </c>
      <c r="AY52" s="290">
        <f t="shared" si="74"/>
        <v>8.0974215000000012</v>
      </c>
      <c r="AZ52" s="223">
        <f t="shared" si="75"/>
        <v>0</v>
      </c>
      <c r="BA52" s="224">
        <f t="shared" si="76"/>
        <v>19.437421499999999</v>
      </c>
      <c r="BB52" s="224">
        <f t="shared" si="77"/>
        <v>3.8874843000000001</v>
      </c>
      <c r="BC52" s="224">
        <f t="shared" si="78"/>
        <v>23.3249058</v>
      </c>
      <c r="BD52" s="225">
        <v>0</v>
      </c>
      <c r="BE52" s="224">
        <f t="shared" si="79"/>
        <v>0</v>
      </c>
      <c r="BF52" s="226"/>
      <c r="BG52" s="308">
        <f t="shared" si="80"/>
        <v>0</v>
      </c>
      <c r="BH52" s="308">
        <f t="shared" si="81"/>
        <v>12</v>
      </c>
      <c r="BI52" s="308">
        <f t="shared" si="82"/>
        <v>700</v>
      </c>
      <c r="BJ52" s="309">
        <f t="shared" si="83"/>
        <v>0.85</v>
      </c>
      <c r="BK52" s="308">
        <f t="shared" si="84"/>
        <v>0</v>
      </c>
      <c r="BL52" s="310"/>
      <c r="BM52" s="311">
        <f t="shared" si="85"/>
        <v>12</v>
      </c>
      <c r="BN52" s="312">
        <f t="shared" si="86"/>
        <v>18</v>
      </c>
      <c r="BO52" s="312">
        <f t="shared" si="87"/>
        <v>26</v>
      </c>
      <c r="BP52" s="308">
        <f t="shared" si="88"/>
        <v>140</v>
      </c>
      <c r="BQ52" s="313"/>
      <c r="BR52" s="314">
        <f t="shared" si="89"/>
        <v>140</v>
      </c>
      <c r="BS52" s="311">
        <f t="shared" si="90"/>
        <v>-128</v>
      </c>
      <c r="BT52" s="311" t="str">
        <f t="shared" si="91"/>
        <v/>
      </c>
    </row>
    <row r="53" spans="2:72" s="92" customFormat="1" x14ac:dyDescent="0.2">
      <c r="B53" s="281" t="s">
        <v>223</v>
      </c>
      <c r="C53" s="239" t="s">
        <v>131</v>
      </c>
      <c r="D53" s="193"/>
      <c r="E53" s="194" t="s">
        <v>153</v>
      </c>
      <c r="F53" s="240">
        <v>18.899999999999999</v>
      </c>
      <c r="G53" s="195"/>
      <c r="H53" s="82"/>
      <c r="I53" s="196">
        <v>3.6</v>
      </c>
      <c r="J53" s="197"/>
      <c r="K53" s="77">
        <f t="shared" si="50"/>
        <v>68.039999999999992</v>
      </c>
      <c r="L53" s="77" t="str">
        <f t="shared" si="51"/>
        <v/>
      </c>
      <c r="M53" s="77">
        <f t="shared" si="52"/>
        <v>68.039999999999992</v>
      </c>
      <c r="N53" s="198" t="e">
        <f t="shared" si="53"/>
        <v>#DIV/0!</v>
      </c>
      <c r="O53" s="199"/>
      <c r="P53" s="200">
        <v>200</v>
      </c>
      <c r="Q53" s="201"/>
      <c r="R53" s="77">
        <f t="shared" si="54"/>
        <v>0</v>
      </c>
      <c r="S53" s="202" t="s">
        <v>239</v>
      </c>
      <c r="T53" s="203"/>
      <c r="U53" s="204"/>
      <c r="V53" s="77">
        <f t="shared" si="55"/>
        <v>0</v>
      </c>
      <c r="W53" s="77">
        <f t="shared" si="56"/>
        <v>0</v>
      </c>
      <c r="X53" s="77">
        <f t="shared" si="57"/>
        <v>0</v>
      </c>
      <c r="Y53" s="78"/>
      <c r="Z53" s="280">
        <f t="shared" si="58"/>
        <v>20</v>
      </c>
      <c r="AA53" s="205" t="s">
        <v>156</v>
      </c>
      <c r="AB53" s="205">
        <f t="shared" si="59"/>
        <v>0.1</v>
      </c>
      <c r="AC53" s="205">
        <f t="shared" si="123"/>
        <v>20</v>
      </c>
      <c r="AD53" s="206">
        <f t="shared" si="60"/>
        <v>0</v>
      </c>
      <c r="AE53" s="207">
        <v>3</v>
      </c>
      <c r="AF53" s="208">
        <f t="shared" si="61"/>
        <v>0.19</v>
      </c>
      <c r="AG53" s="209"/>
      <c r="AH53" s="208">
        <f t="shared" si="62"/>
        <v>0.8</v>
      </c>
      <c r="AI53" s="209"/>
      <c r="AJ53" s="208">
        <f t="shared" si="63"/>
        <v>1.2</v>
      </c>
      <c r="AK53" s="210">
        <f t="shared" ref="AK53:AK83" si="124">F53</f>
        <v>18.899999999999999</v>
      </c>
      <c r="AL53" s="208">
        <f t="shared" si="64"/>
        <v>0.1</v>
      </c>
      <c r="AM53" s="209"/>
      <c r="AN53" s="208">
        <f t="shared" si="65"/>
        <v>0.18</v>
      </c>
      <c r="AO53" s="211"/>
      <c r="AP53" s="212">
        <f t="shared" si="66"/>
        <v>0.15</v>
      </c>
      <c r="AQ53" s="211"/>
      <c r="AR53" s="213">
        <f t="shared" si="67"/>
        <v>130.47300000000001</v>
      </c>
      <c r="AS53" s="213">
        <f t="shared" si="68"/>
        <v>0</v>
      </c>
      <c r="AT53" s="213">
        <f t="shared" si="69"/>
        <v>0</v>
      </c>
      <c r="AU53" s="213">
        <f t="shared" si="70"/>
        <v>79.38</v>
      </c>
      <c r="AV53" s="213">
        <f t="shared" si="71"/>
        <v>0</v>
      </c>
      <c r="AW53" s="213">
        <f t="shared" si="72"/>
        <v>0</v>
      </c>
      <c r="AX53" s="77">
        <f t="shared" si="73"/>
        <v>209.85300000000001</v>
      </c>
      <c r="AY53" s="77">
        <f t="shared" si="74"/>
        <v>148.27998250800002</v>
      </c>
      <c r="AZ53" s="86">
        <f t="shared" si="75"/>
        <v>0</v>
      </c>
      <c r="BA53" s="144">
        <f t="shared" si="76"/>
        <v>358.13298250800005</v>
      </c>
      <c r="BB53" s="144">
        <f t="shared" si="77"/>
        <v>71.626596501600019</v>
      </c>
      <c r="BC53" s="144">
        <f t="shared" si="78"/>
        <v>429.75957900960009</v>
      </c>
      <c r="BD53" s="87">
        <v>670</v>
      </c>
      <c r="BE53" s="144">
        <f t="shared" si="79"/>
        <v>35.449735449735449</v>
      </c>
      <c r="BF53" s="88"/>
      <c r="BG53" s="214">
        <f t="shared" si="80"/>
        <v>0</v>
      </c>
      <c r="BH53" s="214">
        <f t="shared" si="81"/>
        <v>151.19999999999999</v>
      </c>
      <c r="BI53" s="214">
        <f t="shared" si="82"/>
        <v>700</v>
      </c>
      <c r="BJ53" s="215">
        <f t="shared" si="83"/>
        <v>0.85</v>
      </c>
      <c r="BK53" s="214">
        <f t="shared" si="84"/>
        <v>0</v>
      </c>
      <c r="BL53" s="216"/>
      <c r="BM53" s="217">
        <f t="shared" si="85"/>
        <v>151.19999999999999</v>
      </c>
      <c r="BN53" s="218">
        <f t="shared" si="86"/>
        <v>18</v>
      </c>
      <c r="BO53" s="218">
        <f t="shared" si="87"/>
        <v>26</v>
      </c>
      <c r="BP53" s="214">
        <f t="shared" si="88"/>
        <v>0</v>
      </c>
      <c r="BQ53" s="219"/>
      <c r="BR53" s="220">
        <f t="shared" si="89"/>
        <v>0</v>
      </c>
      <c r="BS53" s="217">
        <f t="shared" si="90"/>
        <v>151.19999999999999</v>
      </c>
      <c r="BT53" s="217">
        <f t="shared" si="91"/>
        <v>54</v>
      </c>
    </row>
    <row r="54" spans="2:72" s="92" customFormat="1" x14ac:dyDescent="0.2">
      <c r="B54" s="190" t="s">
        <v>224</v>
      </c>
      <c r="C54" s="184" t="s">
        <v>147</v>
      </c>
      <c r="D54" s="174"/>
      <c r="E54" s="93" t="s">
        <v>153</v>
      </c>
      <c r="F54" s="185">
        <v>128.80000000000001</v>
      </c>
      <c r="G54" s="186"/>
      <c r="H54" s="82"/>
      <c r="I54" s="74">
        <v>2.5</v>
      </c>
      <c r="J54" s="147"/>
      <c r="K54" s="75">
        <f t="shared" si="50"/>
        <v>322</v>
      </c>
      <c r="L54" s="75" t="str">
        <f t="shared" si="51"/>
        <v/>
      </c>
      <c r="M54" s="75">
        <f t="shared" si="52"/>
        <v>322</v>
      </c>
      <c r="N54" s="172">
        <f t="shared" si="53"/>
        <v>-6.2500000000000003E-3</v>
      </c>
      <c r="O54" s="178">
        <v>320</v>
      </c>
      <c r="P54" s="179">
        <v>320</v>
      </c>
      <c r="Q54" s="177"/>
      <c r="R54" s="75">
        <f t="shared" si="54"/>
        <v>2.4844720496894408</v>
      </c>
      <c r="S54" s="94" t="s">
        <v>239</v>
      </c>
      <c r="T54" s="180"/>
      <c r="U54" s="95"/>
      <c r="V54" s="75">
        <f t="shared" si="55"/>
        <v>0</v>
      </c>
      <c r="W54" s="75">
        <f t="shared" si="56"/>
        <v>0</v>
      </c>
      <c r="X54" s="75">
        <f t="shared" si="57"/>
        <v>0</v>
      </c>
      <c r="Y54" s="78"/>
      <c r="Z54" s="83">
        <f t="shared" si="58"/>
        <v>20</v>
      </c>
      <c r="AA54" s="84" t="s">
        <v>156</v>
      </c>
      <c r="AB54" s="84">
        <f t="shared" si="59"/>
        <v>0.1</v>
      </c>
      <c r="AC54" s="84">
        <f t="shared" si="123"/>
        <v>20</v>
      </c>
      <c r="AD54" s="37">
        <f t="shared" si="60"/>
        <v>320</v>
      </c>
      <c r="AE54" s="192">
        <v>23</v>
      </c>
      <c r="AF54" s="85">
        <f t="shared" si="61"/>
        <v>0.19</v>
      </c>
      <c r="AG54" s="81">
        <v>3.25</v>
      </c>
      <c r="AH54" s="85">
        <f t="shared" si="62"/>
        <v>0.8</v>
      </c>
      <c r="AI54" s="81"/>
      <c r="AJ54" s="85">
        <f t="shared" si="63"/>
        <v>1.2</v>
      </c>
      <c r="AK54" s="182">
        <f t="shared" si="124"/>
        <v>128.80000000000001</v>
      </c>
      <c r="AL54" s="85">
        <f t="shared" si="64"/>
        <v>0.1</v>
      </c>
      <c r="AM54" s="81"/>
      <c r="AN54" s="85">
        <f t="shared" si="65"/>
        <v>0.18</v>
      </c>
      <c r="AO54" s="38"/>
      <c r="AP54" s="39">
        <f t="shared" si="66"/>
        <v>0.15</v>
      </c>
      <c r="AQ54" s="38"/>
      <c r="AR54" s="40">
        <f t="shared" si="67"/>
        <v>974.35800000000006</v>
      </c>
      <c r="AS54" s="40">
        <f t="shared" si="68"/>
        <v>109.2</v>
      </c>
      <c r="AT54" s="40">
        <f t="shared" si="69"/>
        <v>0</v>
      </c>
      <c r="AU54" s="40">
        <f t="shared" si="70"/>
        <v>540.96000000000015</v>
      </c>
      <c r="AV54" s="40">
        <f t="shared" si="71"/>
        <v>0</v>
      </c>
      <c r="AW54" s="40">
        <f t="shared" si="72"/>
        <v>0</v>
      </c>
      <c r="AX54" s="75">
        <f t="shared" si="73"/>
        <v>1624.518</v>
      </c>
      <c r="AY54" s="75">
        <f t="shared" si="74"/>
        <v>1010.5006215360003</v>
      </c>
      <c r="AZ54" s="86">
        <f t="shared" si="75"/>
        <v>0</v>
      </c>
      <c r="BA54" s="143">
        <f t="shared" si="76"/>
        <v>2635.0186215360004</v>
      </c>
      <c r="BB54" s="144">
        <f t="shared" si="77"/>
        <v>527.00372430720006</v>
      </c>
      <c r="BC54" s="143">
        <f t="shared" si="78"/>
        <v>3162.0223458432006</v>
      </c>
      <c r="BD54" s="87">
        <v>0</v>
      </c>
      <c r="BE54" s="143">
        <f t="shared" si="79"/>
        <v>0</v>
      </c>
      <c r="BF54" s="88"/>
      <c r="BG54" s="89">
        <f t="shared" si="80"/>
        <v>0</v>
      </c>
      <c r="BH54" s="89">
        <f t="shared" si="81"/>
        <v>1030.4000000000001</v>
      </c>
      <c r="BI54" s="89">
        <f t="shared" si="82"/>
        <v>700</v>
      </c>
      <c r="BJ54" s="90">
        <f t="shared" si="83"/>
        <v>0.85</v>
      </c>
      <c r="BK54" s="89">
        <f t="shared" si="84"/>
        <v>341.25000000000006</v>
      </c>
      <c r="BL54" s="109"/>
      <c r="BM54" s="110">
        <f t="shared" si="85"/>
        <v>1371.65</v>
      </c>
      <c r="BN54" s="45">
        <f t="shared" si="86"/>
        <v>18</v>
      </c>
      <c r="BO54" s="45">
        <f t="shared" si="87"/>
        <v>26</v>
      </c>
      <c r="BP54" s="89">
        <f t="shared" si="88"/>
        <v>896</v>
      </c>
      <c r="BQ54" s="91"/>
      <c r="BR54" s="41">
        <f t="shared" si="89"/>
        <v>896</v>
      </c>
      <c r="BS54" s="110">
        <f t="shared" si="90"/>
        <v>475.65000000000009</v>
      </c>
      <c r="BT54" s="110">
        <f t="shared" si="91"/>
        <v>169.87500000000006</v>
      </c>
    </row>
    <row r="55" spans="2:72" s="92" customFormat="1" x14ac:dyDescent="0.2">
      <c r="B55" s="190" t="s">
        <v>222</v>
      </c>
      <c r="C55" s="184" t="s">
        <v>149</v>
      </c>
      <c r="D55" s="174"/>
      <c r="E55" s="93" t="s">
        <v>153</v>
      </c>
      <c r="F55" s="185">
        <v>4</v>
      </c>
      <c r="G55" s="186"/>
      <c r="H55" s="82"/>
      <c r="I55" s="74">
        <f>$I$7</f>
        <v>7.2</v>
      </c>
      <c r="J55" s="147"/>
      <c r="K55" s="75">
        <f t="shared" si="50"/>
        <v>28.8</v>
      </c>
      <c r="L55" s="75" t="str">
        <f t="shared" si="51"/>
        <v/>
      </c>
      <c r="M55" s="75">
        <f t="shared" si="52"/>
        <v>28.8</v>
      </c>
      <c r="N55" s="172" t="e">
        <f t="shared" si="53"/>
        <v>#DIV/0!</v>
      </c>
      <c r="O55" s="178"/>
      <c r="P55" s="179">
        <v>0</v>
      </c>
      <c r="Q55" s="177"/>
      <c r="R55" s="75">
        <f t="shared" si="54"/>
        <v>0</v>
      </c>
      <c r="S55" s="94" t="s">
        <v>240</v>
      </c>
      <c r="T55" s="180"/>
      <c r="U55" s="95"/>
      <c r="V55" s="75">
        <f t="shared" si="55"/>
        <v>0</v>
      </c>
      <c r="W55" s="75">
        <f t="shared" si="56"/>
        <v>0</v>
      </c>
      <c r="X55" s="75">
        <f t="shared" si="57"/>
        <v>0</v>
      </c>
      <c r="Y55" s="78"/>
      <c r="Z55" s="83">
        <f t="shared" si="58"/>
        <v>20</v>
      </c>
      <c r="AA55" s="84" t="s">
        <v>156</v>
      </c>
      <c r="AB55" s="84">
        <f t="shared" si="59"/>
        <v>0.1</v>
      </c>
      <c r="AC55" s="84">
        <f t="shared" si="123"/>
        <v>20</v>
      </c>
      <c r="AD55" s="37">
        <f t="shared" si="60"/>
        <v>0</v>
      </c>
      <c r="AE55" s="192"/>
      <c r="AF55" s="85">
        <f t="shared" si="61"/>
        <v>0.19</v>
      </c>
      <c r="AG55" s="81"/>
      <c r="AH55" s="85">
        <f t="shared" si="62"/>
        <v>0.8</v>
      </c>
      <c r="AI55" s="81"/>
      <c r="AJ55" s="85">
        <f t="shared" si="63"/>
        <v>1.2</v>
      </c>
      <c r="AK55" s="182">
        <f t="shared" si="124"/>
        <v>4</v>
      </c>
      <c r="AL55" s="85">
        <f t="shared" si="64"/>
        <v>0.1</v>
      </c>
      <c r="AM55" s="81"/>
      <c r="AN55" s="85">
        <f t="shared" si="65"/>
        <v>0.18</v>
      </c>
      <c r="AO55" s="38"/>
      <c r="AP55" s="39">
        <f t="shared" si="66"/>
        <v>0.15</v>
      </c>
      <c r="AQ55" s="38"/>
      <c r="AR55" s="40">
        <f t="shared" si="67"/>
        <v>0</v>
      </c>
      <c r="AS55" s="40">
        <f t="shared" si="68"/>
        <v>0</v>
      </c>
      <c r="AT55" s="40">
        <f t="shared" si="69"/>
        <v>0</v>
      </c>
      <c r="AU55" s="40">
        <f t="shared" si="70"/>
        <v>16.8</v>
      </c>
      <c r="AV55" s="40">
        <f t="shared" si="71"/>
        <v>0</v>
      </c>
      <c r="AW55" s="40">
        <f t="shared" si="72"/>
        <v>0</v>
      </c>
      <c r="AX55" s="75">
        <f t="shared" si="73"/>
        <v>16.8</v>
      </c>
      <c r="AY55" s="75">
        <f t="shared" si="74"/>
        <v>31.382006880000006</v>
      </c>
      <c r="AZ55" s="86">
        <f t="shared" si="75"/>
        <v>0</v>
      </c>
      <c r="BA55" s="143">
        <f t="shared" si="76"/>
        <v>48.182006880000003</v>
      </c>
      <c r="BB55" s="144">
        <f t="shared" si="77"/>
        <v>9.636401376000002</v>
      </c>
      <c r="BC55" s="143">
        <f t="shared" si="78"/>
        <v>57.818408256000005</v>
      </c>
      <c r="BD55" s="87">
        <v>0</v>
      </c>
      <c r="BE55" s="143">
        <f t="shared" si="79"/>
        <v>0</v>
      </c>
      <c r="BF55" s="88"/>
      <c r="BG55" s="89">
        <f t="shared" si="80"/>
        <v>0</v>
      </c>
      <c r="BH55" s="89">
        <f t="shared" si="81"/>
        <v>32</v>
      </c>
      <c r="BI55" s="89">
        <f t="shared" si="82"/>
        <v>700</v>
      </c>
      <c r="BJ55" s="90">
        <f t="shared" si="83"/>
        <v>0.85</v>
      </c>
      <c r="BK55" s="89">
        <f t="shared" si="84"/>
        <v>0</v>
      </c>
      <c r="BL55" s="109"/>
      <c r="BM55" s="110">
        <f t="shared" si="85"/>
        <v>32</v>
      </c>
      <c r="BN55" s="45">
        <f t="shared" si="86"/>
        <v>18</v>
      </c>
      <c r="BO55" s="45">
        <f t="shared" si="87"/>
        <v>26</v>
      </c>
      <c r="BP55" s="89">
        <f t="shared" si="88"/>
        <v>0</v>
      </c>
      <c r="BQ55" s="91"/>
      <c r="BR55" s="41">
        <f t="shared" si="89"/>
        <v>0</v>
      </c>
      <c r="BS55" s="110">
        <f t="shared" si="90"/>
        <v>32</v>
      </c>
      <c r="BT55" s="110">
        <f t="shared" si="91"/>
        <v>11.428571428571429</v>
      </c>
    </row>
    <row r="56" spans="2:72" s="92" customFormat="1" x14ac:dyDescent="0.2">
      <c r="B56" s="190" t="s">
        <v>236</v>
      </c>
      <c r="C56" s="184" t="s">
        <v>136</v>
      </c>
      <c r="D56" s="174"/>
      <c r="E56" s="93" t="s">
        <v>153</v>
      </c>
      <c r="F56" s="185">
        <v>91</v>
      </c>
      <c r="G56" s="186"/>
      <c r="H56" s="82"/>
      <c r="I56" s="74">
        <v>3.6</v>
      </c>
      <c r="J56" s="147"/>
      <c r="K56" s="75">
        <f t="shared" si="50"/>
        <v>327.60000000000002</v>
      </c>
      <c r="L56" s="75" t="str">
        <f t="shared" si="51"/>
        <v/>
      </c>
      <c r="M56" s="75">
        <f t="shared" si="52"/>
        <v>327.60000000000002</v>
      </c>
      <c r="N56" s="172">
        <f t="shared" si="53"/>
        <v>0.51823529411764702</v>
      </c>
      <c r="O56" s="178">
        <v>680</v>
      </c>
      <c r="P56" s="179">
        <v>335</v>
      </c>
      <c r="Q56" s="177"/>
      <c r="R56" s="75">
        <f t="shared" si="54"/>
        <v>7.4725274725274726</v>
      </c>
      <c r="S56" s="94" t="s">
        <v>239</v>
      </c>
      <c r="T56" s="180"/>
      <c r="U56" s="95"/>
      <c r="V56" s="75">
        <f t="shared" si="55"/>
        <v>0</v>
      </c>
      <c r="W56" s="75">
        <f t="shared" si="56"/>
        <v>0</v>
      </c>
      <c r="X56" s="75">
        <f t="shared" si="57"/>
        <v>0</v>
      </c>
      <c r="Y56" s="78"/>
      <c r="Z56" s="83">
        <f t="shared" si="58"/>
        <v>20</v>
      </c>
      <c r="AA56" s="84" t="s">
        <v>156</v>
      </c>
      <c r="AB56" s="84">
        <f t="shared" si="59"/>
        <v>0.1</v>
      </c>
      <c r="AC56" s="84">
        <f t="shared" si="123"/>
        <v>20</v>
      </c>
      <c r="AD56" s="37">
        <f t="shared" si="60"/>
        <v>680</v>
      </c>
      <c r="AE56" s="192">
        <v>2.2999999999999998</v>
      </c>
      <c r="AF56" s="85">
        <f t="shared" si="61"/>
        <v>0.19</v>
      </c>
      <c r="AG56" s="279">
        <v>8.6199999999999992</v>
      </c>
      <c r="AH56" s="85">
        <f t="shared" si="62"/>
        <v>0.8</v>
      </c>
      <c r="AI56" s="81"/>
      <c r="AJ56" s="85">
        <f t="shared" si="63"/>
        <v>1.2</v>
      </c>
      <c r="AK56" s="182">
        <f t="shared" si="124"/>
        <v>91</v>
      </c>
      <c r="AL56" s="85">
        <f t="shared" si="64"/>
        <v>0.1</v>
      </c>
      <c r="AM56" s="81"/>
      <c r="AN56" s="85">
        <f t="shared" si="65"/>
        <v>0.18</v>
      </c>
      <c r="AO56" s="38"/>
      <c r="AP56" s="39">
        <f t="shared" si="66"/>
        <v>0.15</v>
      </c>
      <c r="AQ56" s="38"/>
      <c r="AR56" s="40">
        <f t="shared" si="67"/>
        <v>31.241700000000009</v>
      </c>
      <c r="AS56" s="40">
        <f t="shared" si="68"/>
        <v>289.63200000000001</v>
      </c>
      <c r="AT56" s="40">
        <f t="shared" si="69"/>
        <v>0</v>
      </c>
      <c r="AU56" s="40">
        <f t="shared" si="70"/>
        <v>382.2</v>
      </c>
      <c r="AV56" s="40">
        <f t="shared" si="71"/>
        <v>0</v>
      </c>
      <c r="AW56" s="40">
        <f t="shared" si="72"/>
        <v>0</v>
      </c>
      <c r="AX56" s="75">
        <f t="shared" si="73"/>
        <v>703.07369999999992</v>
      </c>
      <c r="AY56" s="75">
        <f t="shared" si="74"/>
        <v>713.94065652000018</v>
      </c>
      <c r="AZ56" s="86">
        <f t="shared" si="75"/>
        <v>0</v>
      </c>
      <c r="BA56" s="143">
        <f t="shared" si="76"/>
        <v>1417.0143565200001</v>
      </c>
      <c r="BB56" s="144">
        <f t="shared" si="77"/>
        <v>283.40287130400003</v>
      </c>
      <c r="BC56" s="143">
        <f t="shared" si="78"/>
        <v>1700.4172278240001</v>
      </c>
      <c r="BD56" s="87">
        <f>F56*30</f>
        <v>2730</v>
      </c>
      <c r="BE56" s="143">
        <f t="shared" si="79"/>
        <v>30</v>
      </c>
      <c r="BF56" s="88"/>
      <c r="BG56" s="89">
        <f t="shared" si="80"/>
        <v>0</v>
      </c>
      <c r="BH56" s="89">
        <f t="shared" si="81"/>
        <v>728</v>
      </c>
      <c r="BI56" s="89">
        <f t="shared" si="82"/>
        <v>700</v>
      </c>
      <c r="BJ56" s="90">
        <f t="shared" si="83"/>
        <v>0.85</v>
      </c>
      <c r="BK56" s="89">
        <f t="shared" si="84"/>
        <v>905.1</v>
      </c>
      <c r="BL56" s="109"/>
      <c r="BM56" s="110">
        <f t="shared" si="85"/>
        <v>1633.1</v>
      </c>
      <c r="BN56" s="45">
        <f t="shared" si="86"/>
        <v>18</v>
      </c>
      <c r="BO56" s="45">
        <f t="shared" si="87"/>
        <v>26</v>
      </c>
      <c r="BP56" s="89">
        <f t="shared" si="88"/>
        <v>1903.9999999999998</v>
      </c>
      <c r="BQ56" s="91"/>
      <c r="BR56" s="41">
        <f t="shared" si="89"/>
        <v>1903.9999999999998</v>
      </c>
      <c r="BS56" s="110">
        <f t="shared" si="90"/>
        <v>-270.89999999999986</v>
      </c>
      <c r="BT56" s="110" t="str">
        <f t="shared" si="91"/>
        <v/>
      </c>
    </row>
    <row r="57" spans="2:72" s="92" customFormat="1" x14ac:dyDescent="0.2">
      <c r="B57" s="190" t="s">
        <v>217</v>
      </c>
      <c r="C57" s="184" t="s">
        <v>143</v>
      </c>
      <c r="D57" s="174"/>
      <c r="E57" s="93" t="s">
        <v>153</v>
      </c>
      <c r="F57" s="185">
        <v>6.1</v>
      </c>
      <c r="G57" s="186"/>
      <c r="H57" s="82"/>
      <c r="I57" s="74">
        <f t="shared" ref="I57:I65" si="125">$I$7</f>
        <v>7.2</v>
      </c>
      <c r="J57" s="147"/>
      <c r="K57" s="75">
        <f t="shared" si="50"/>
        <v>43.92</v>
      </c>
      <c r="L57" s="75" t="str">
        <f t="shared" si="51"/>
        <v/>
      </c>
      <c r="M57" s="75">
        <f t="shared" si="52"/>
        <v>43.92</v>
      </c>
      <c r="N57" s="172">
        <f t="shared" si="53"/>
        <v>0.85359999999999991</v>
      </c>
      <c r="O57" s="178">
        <v>300</v>
      </c>
      <c r="P57" s="179"/>
      <c r="Q57" s="177"/>
      <c r="R57" s="75">
        <f t="shared" si="54"/>
        <v>49.180327868852459</v>
      </c>
      <c r="S57" s="94" t="s">
        <v>239</v>
      </c>
      <c r="T57" s="180"/>
      <c r="U57" s="95"/>
      <c r="V57" s="75">
        <f t="shared" si="55"/>
        <v>0</v>
      </c>
      <c r="W57" s="75">
        <f t="shared" si="56"/>
        <v>0</v>
      </c>
      <c r="X57" s="75">
        <f t="shared" si="57"/>
        <v>0</v>
      </c>
      <c r="Y57" s="78"/>
      <c r="Z57" s="83">
        <f t="shared" si="58"/>
        <v>20</v>
      </c>
      <c r="AA57" s="84" t="s">
        <v>156</v>
      </c>
      <c r="AB57" s="84">
        <f t="shared" si="59"/>
        <v>0.1</v>
      </c>
      <c r="AC57" s="84">
        <f t="shared" si="123"/>
        <v>20</v>
      </c>
      <c r="AD57" s="37">
        <f t="shared" si="60"/>
        <v>300</v>
      </c>
      <c r="AE57" s="192"/>
      <c r="AF57" s="85">
        <f t="shared" si="61"/>
        <v>0.19</v>
      </c>
      <c r="AG57" s="279"/>
      <c r="AH57" s="85">
        <f t="shared" si="62"/>
        <v>0.8</v>
      </c>
      <c r="AI57" s="81"/>
      <c r="AJ57" s="85">
        <f t="shared" si="63"/>
        <v>1.2</v>
      </c>
      <c r="AK57" s="182">
        <f t="shared" si="124"/>
        <v>6.1</v>
      </c>
      <c r="AL57" s="85">
        <f t="shared" si="64"/>
        <v>0.1</v>
      </c>
      <c r="AM57" s="81"/>
      <c r="AN57" s="85">
        <f t="shared" si="65"/>
        <v>0.18</v>
      </c>
      <c r="AO57" s="38"/>
      <c r="AP57" s="39">
        <f t="shared" si="66"/>
        <v>0.15</v>
      </c>
      <c r="AQ57" s="38"/>
      <c r="AR57" s="40">
        <f t="shared" si="67"/>
        <v>0</v>
      </c>
      <c r="AS57" s="40">
        <f t="shared" si="68"/>
        <v>0</v>
      </c>
      <c r="AT57" s="40">
        <f t="shared" si="69"/>
        <v>0</v>
      </c>
      <c r="AU57" s="40">
        <f t="shared" si="70"/>
        <v>25.62</v>
      </c>
      <c r="AV57" s="40">
        <f t="shared" si="71"/>
        <v>0</v>
      </c>
      <c r="AW57" s="40">
        <f t="shared" si="72"/>
        <v>0</v>
      </c>
      <c r="AX57" s="75">
        <f t="shared" si="73"/>
        <v>25.62</v>
      </c>
      <c r="AY57" s="75">
        <f t="shared" si="74"/>
        <v>47.857560492000005</v>
      </c>
      <c r="AZ57" s="86">
        <f t="shared" si="75"/>
        <v>0</v>
      </c>
      <c r="BA57" s="143">
        <f t="shared" si="76"/>
        <v>73.477560492000009</v>
      </c>
      <c r="BB57" s="144">
        <f t="shared" si="77"/>
        <v>14.695512098400002</v>
      </c>
      <c r="BC57" s="143">
        <f t="shared" si="78"/>
        <v>88.173072590400011</v>
      </c>
      <c r="BD57" s="87">
        <v>100</v>
      </c>
      <c r="BE57" s="143">
        <f t="shared" si="79"/>
        <v>16.393442622950822</v>
      </c>
      <c r="BF57" s="88"/>
      <c r="BG57" s="89">
        <f t="shared" si="80"/>
        <v>0</v>
      </c>
      <c r="BH57" s="89">
        <f t="shared" si="81"/>
        <v>48.8</v>
      </c>
      <c r="BI57" s="89">
        <f t="shared" si="82"/>
        <v>700</v>
      </c>
      <c r="BJ57" s="90">
        <f t="shared" si="83"/>
        <v>0.85</v>
      </c>
      <c r="BK57" s="89">
        <f t="shared" si="84"/>
        <v>0</v>
      </c>
      <c r="BL57" s="109"/>
      <c r="BM57" s="110">
        <f t="shared" si="85"/>
        <v>48.8</v>
      </c>
      <c r="BN57" s="45">
        <f t="shared" si="86"/>
        <v>18</v>
      </c>
      <c r="BO57" s="45">
        <f t="shared" si="87"/>
        <v>26</v>
      </c>
      <c r="BP57" s="89">
        <f t="shared" si="88"/>
        <v>840</v>
      </c>
      <c r="BQ57" s="91"/>
      <c r="BR57" s="41">
        <f t="shared" si="89"/>
        <v>840</v>
      </c>
      <c r="BS57" s="110">
        <f t="shared" si="90"/>
        <v>-791.2</v>
      </c>
      <c r="BT57" s="110" t="str">
        <f t="shared" si="91"/>
        <v/>
      </c>
    </row>
    <row r="58" spans="2:72" s="92" customFormat="1" x14ac:dyDescent="0.2">
      <c r="B58" s="190" t="s">
        <v>216</v>
      </c>
      <c r="C58" s="184" t="s">
        <v>144</v>
      </c>
      <c r="D58" s="174"/>
      <c r="E58" s="93" t="s">
        <v>153</v>
      </c>
      <c r="F58" s="185">
        <v>3.2</v>
      </c>
      <c r="G58" s="186"/>
      <c r="H58" s="82"/>
      <c r="I58" s="74">
        <f t="shared" si="125"/>
        <v>7.2</v>
      </c>
      <c r="J58" s="147"/>
      <c r="K58" s="75">
        <f t="shared" si="50"/>
        <v>23.040000000000003</v>
      </c>
      <c r="L58" s="75" t="str">
        <f t="shared" si="51"/>
        <v/>
      </c>
      <c r="M58" s="75">
        <f t="shared" si="52"/>
        <v>23.040000000000003</v>
      </c>
      <c r="N58" s="172" t="e">
        <f t="shared" si="53"/>
        <v>#DIV/0!</v>
      </c>
      <c r="O58" s="178"/>
      <c r="P58" s="179">
        <v>100</v>
      </c>
      <c r="Q58" s="177"/>
      <c r="R58" s="75">
        <f t="shared" si="54"/>
        <v>0</v>
      </c>
      <c r="S58" s="94" t="s">
        <v>239</v>
      </c>
      <c r="T58" s="180"/>
      <c r="U58" s="95"/>
      <c r="V58" s="75">
        <f t="shared" si="55"/>
        <v>0</v>
      </c>
      <c r="W58" s="75">
        <f t="shared" si="56"/>
        <v>0</v>
      </c>
      <c r="X58" s="75">
        <f t="shared" si="57"/>
        <v>0</v>
      </c>
      <c r="Y58" s="78"/>
      <c r="Z58" s="83">
        <f t="shared" si="58"/>
        <v>20</v>
      </c>
      <c r="AA58" s="84" t="s">
        <v>156</v>
      </c>
      <c r="AB58" s="84">
        <f t="shared" si="59"/>
        <v>0.1</v>
      </c>
      <c r="AC58" s="84">
        <f t="shared" si="123"/>
        <v>20</v>
      </c>
      <c r="AD58" s="37">
        <f t="shared" si="60"/>
        <v>0</v>
      </c>
      <c r="AE58" s="192"/>
      <c r="AF58" s="85">
        <f t="shared" si="61"/>
        <v>0.19</v>
      </c>
      <c r="AG58" s="279"/>
      <c r="AH58" s="85">
        <f t="shared" si="62"/>
        <v>0.8</v>
      </c>
      <c r="AI58" s="81"/>
      <c r="AJ58" s="85">
        <f t="shared" si="63"/>
        <v>1.2</v>
      </c>
      <c r="AK58" s="182">
        <f t="shared" si="124"/>
        <v>3.2</v>
      </c>
      <c r="AL58" s="85">
        <f t="shared" si="64"/>
        <v>0.1</v>
      </c>
      <c r="AM58" s="81"/>
      <c r="AN58" s="85">
        <f t="shared" si="65"/>
        <v>0.18</v>
      </c>
      <c r="AO58" s="38"/>
      <c r="AP58" s="39">
        <f t="shared" si="66"/>
        <v>0.15</v>
      </c>
      <c r="AQ58" s="38"/>
      <c r="AR58" s="40">
        <f t="shared" si="67"/>
        <v>0</v>
      </c>
      <c r="AS58" s="40">
        <f t="shared" si="68"/>
        <v>0</v>
      </c>
      <c r="AT58" s="40">
        <f t="shared" si="69"/>
        <v>0</v>
      </c>
      <c r="AU58" s="40">
        <f t="shared" si="70"/>
        <v>13.440000000000003</v>
      </c>
      <c r="AV58" s="40">
        <f t="shared" si="71"/>
        <v>0</v>
      </c>
      <c r="AW58" s="40">
        <f t="shared" si="72"/>
        <v>0</v>
      </c>
      <c r="AX58" s="75">
        <f t="shared" si="73"/>
        <v>13.440000000000003</v>
      </c>
      <c r="AY58" s="75">
        <f t="shared" si="74"/>
        <v>25.105605504000007</v>
      </c>
      <c r="AZ58" s="86">
        <f t="shared" si="75"/>
        <v>0</v>
      </c>
      <c r="BA58" s="143">
        <f t="shared" si="76"/>
        <v>38.545605504000008</v>
      </c>
      <c r="BB58" s="144">
        <f t="shared" si="77"/>
        <v>7.7091211008000018</v>
      </c>
      <c r="BC58" s="143">
        <f t="shared" si="78"/>
        <v>46.254726604800013</v>
      </c>
      <c r="BD58" s="87">
        <v>50</v>
      </c>
      <c r="BE58" s="143">
        <f t="shared" si="79"/>
        <v>15.625</v>
      </c>
      <c r="BF58" s="88"/>
      <c r="BG58" s="89">
        <f t="shared" si="80"/>
        <v>0</v>
      </c>
      <c r="BH58" s="89">
        <f t="shared" si="81"/>
        <v>25.6</v>
      </c>
      <c r="BI58" s="89">
        <f t="shared" si="82"/>
        <v>700</v>
      </c>
      <c r="BJ58" s="90">
        <f t="shared" si="83"/>
        <v>0.85</v>
      </c>
      <c r="BK58" s="89">
        <f t="shared" si="84"/>
        <v>0</v>
      </c>
      <c r="BL58" s="109"/>
      <c r="BM58" s="110">
        <f t="shared" si="85"/>
        <v>25.6</v>
      </c>
      <c r="BN58" s="45">
        <f t="shared" si="86"/>
        <v>18</v>
      </c>
      <c r="BO58" s="45">
        <f t="shared" si="87"/>
        <v>26</v>
      </c>
      <c r="BP58" s="89">
        <f t="shared" si="88"/>
        <v>0</v>
      </c>
      <c r="BQ58" s="91"/>
      <c r="BR58" s="41">
        <f t="shared" si="89"/>
        <v>0</v>
      </c>
      <c r="BS58" s="110">
        <f t="shared" si="90"/>
        <v>25.6</v>
      </c>
      <c r="BT58" s="110">
        <f t="shared" si="91"/>
        <v>9.1428571428571441</v>
      </c>
    </row>
    <row r="59" spans="2:72" s="92" customFormat="1" x14ac:dyDescent="0.2">
      <c r="B59" s="190" t="s">
        <v>215</v>
      </c>
      <c r="C59" s="184" t="s">
        <v>144</v>
      </c>
      <c r="D59" s="174"/>
      <c r="E59" s="93" t="s">
        <v>153</v>
      </c>
      <c r="F59" s="185">
        <v>3.1</v>
      </c>
      <c r="G59" s="186"/>
      <c r="H59" s="82"/>
      <c r="I59" s="74">
        <f t="shared" si="125"/>
        <v>7.2</v>
      </c>
      <c r="J59" s="147"/>
      <c r="K59" s="75">
        <f t="shared" si="50"/>
        <v>22.32</v>
      </c>
      <c r="L59" s="75" t="str">
        <f t="shared" si="51"/>
        <v/>
      </c>
      <c r="M59" s="75">
        <f t="shared" si="52"/>
        <v>22.32</v>
      </c>
      <c r="N59" s="172" t="e">
        <f t="shared" si="53"/>
        <v>#DIV/0!</v>
      </c>
      <c r="O59" s="178"/>
      <c r="P59" s="179">
        <v>100</v>
      </c>
      <c r="Q59" s="177"/>
      <c r="R59" s="75">
        <f t="shared" si="54"/>
        <v>0</v>
      </c>
      <c r="S59" s="94" t="s">
        <v>239</v>
      </c>
      <c r="T59" s="180"/>
      <c r="U59" s="95"/>
      <c r="V59" s="75">
        <f t="shared" si="55"/>
        <v>0</v>
      </c>
      <c r="W59" s="75">
        <f t="shared" si="56"/>
        <v>0</v>
      </c>
      <c r="X59" s="75">
        <f t="shared" si="57"/>
        <v>0</v>
      </c>
      <c r="Y59" s="78"/>
      <c r="Z59" s="83">
        <f t="shared" si="58"/>
        <v>20</v>
      </c>
      <c r="AA59" s="84" t="s">
        <v>156</v>
      </c>
      <c r="AB59" s="84">
        <f t="shared" si="59"/>
        <v>0.1</v>
      </c>
      <c r="AC59" s="84">
        <f t="shared" si="123"/>
        <v>20</v>
      </c>
      <c r="AD59" s="37">
        <f t="shared" si="60"/>
        <v>0</v>
      </c>
      <c r="AE59" s="192"/>
      <c r="AF59" s="85">
        <f t="shared" si="61"/>
        <v>0.19</v>
      </c>
      <c r="AG59" s="279"/>
      <c r="AH59" s="85">
        <f t="shared" si="62"/>
        <v>0.8</v>
      </c>
      <c r="AI59" s="81"/>
      <c r="AJ59" s="85">
        <f t="shared" si="63"/>
        <v>1.2</v>
      </c>
      <c r="AK59" s="182">
        <f t="shared" si="124"/>
        <v>3.1</v>
      </c>
      <c r="AL59" s="85">
        <f t="shared" si="64"/>
        <v>0.1</v>
      </c>
      <c r="AM59" s="81"/>
      <c r="AN59" s="85">
        <f t="shared" si="65"/>
        <v>0.18</v>
      </c>
      <c r="AO59" s="38"/>
      <c r="AP59" s="39">
        <f t="shared" si="66"/>
        <v>0.15</v>
      </c>
      <c r="AQ59" s="38"/>
      <c r="AR59" s="40">
        <f t="shared" si="67"/>
        <v>0</v>
      </c>
      <c r="AS59" s="40">
        <f t="shared" si="68"/>
        <v>0</v>
      </c>
      <c r="AT59" s="40">
        <f t="shared" si="69"/>
        <v>0</v>
      </c>
      <c r="AU59" s="40">
        <f t="shared" si="70"/>
        <v>13.020000000000003</v>
      </c>
      <c r="AV59" s="40">
        <f t="shared" si="71"/>
        <v>0</v>
      </c>
      <c r="AW59" s="40">
        <f t="shared" si="72"/>
        <v>0</v>
      </c>
      <c r="AX59" s="75">
        <f t="shared" si="73"/>
        <v>13.020000000000003</v>
      </c>
      <c r="AY59" s="75">
        <f t="shared" si="74"/>
        <v>24.321055332000007</v>
      </c>
      <c r="AZ59" s="86">
        <f t="shared" si="75"/>
        <v>0</v>
      </c>
      <c r="BA59" s="143">
        <f t="shared" si="76"/>
        <v>37.34105533200001</v>
      </c>
      <c r="BB59" s="144">
        <f t="shared" si="77"/>
        <v>7.4682110664000021</v>
      </c>
      <c r="BC59" s="143">
        <f t="shared" si="78"/>
        <v>44.809266398400013</v>
      </c>
      <c r="BD59" s="87">
        <v>50</v>
      </c>
      <c r="BE59" s="143">
        <f t="shared" si="79"/>
        <v>16.129032258064516</v>
      </c>
      <c r="BF59" s="88"/>
      <c r="BG59" s="89">
        <f t="shared" si="80"/>
        <v>0</v>
      </c>
      <c r="BH59" s="89">
        <f t="shared" si="81"/>
        <v>24.8</v>
      </c>
      <c r="BI59" s="89">
        <f t="shared" si="82"/>
        <v>700</v>
      </c>
      <c r="BJ59" s="90">
        <f t="shared" si="83"/>
        <v>0.85</v>
      </c>
      <c r="BK59" s="89">
        <f t="shared" si="84"/>
        <v>0</v>
      </c>
      <c r="BL59" s="109"/>
      <c r="BM59" s="110">
        <f t="shared" si="85"/>
        <v>24.8</v>
      </c>
      <c r="BN59" s="45">
        <f t="shared" si="86"/>
        <v>18</v>
      </c>
      <c r="BO59" s="45">
        <f t="shared" si="87"/>
        <v>26</v>
      </c>
      <c r="BP59" s="89">
        <f t="shared" si="88"/>
        <v>0</v>
      </c>
      <c r="BQ59" s="91"/>
      <c r="BR59" s="41">
        <f t="shared" si="89"/>
        <v>0</v>
      </c>
      <c r="BS59" s="110">
        <f t="shared" si="90"/>
        <v>24.8</v>
      </c>
      <c r="BT59" s="110">
        <f t="shared" si="91"/>
        <v>8.8571428571428577</v>
      </c>
    </row>
    <row r="60" spans="2:72" s="92" customFormat="1" x14ac:dyDescent="0.2">
      <c r="B60" s="190" t="s">
        <v>214</v>
      </c>
      <c r="C60" s="184" t="s">
        <v>144</v>
      </c>
      <c r="D60" s="174"/>
      <c r="E60" s="93" t="s">
        <v>153</v>
      </c>
      <c r="F60" s="185">
        <v>3.8</v>
      </c>
      <c r="G60" s="186"/>
      <c r="H60" s="82"/>
      <c r="I60" s="74">
        <f t="shared" si="125"/>
        <v>7.2</v>
      </c>
      <c r="J60" s="147"/>
      <c r="K60" s="75">
        <f t="shared" si="50"/>
        <v>27.36</v>
      </c>
      <c r="L60" s="75" t="str">
        <f t="shared" si="51"/>
        <v/>
      </c>
      <c r="M60" s="75">
        <f t="shared" si="52"/>
        <v>27.36</v>
      </c>
      <c r="N60" s="172" t="e">
        <f t="shared" si="53"/>
        <v>#DIV/0!</v>
      </c>
      <c r="O60" s="178"/>
      <c r="P60" s="179">
        <v>100</v>
      </c>
      <c r="Q60" s="177"/>
      <c r="R60" s="75">
        <f t="shared" si="54"/>
        <v>0</v>
      </c>
      <c r="S60" s="94" t="s">
        <v>239</v>
      </c>
      <c r="T60" s="180"/>
      <c r="U60" s="95"/>
      <c r="V60" s="75">
        <f t="shared" si="55"/>
        <v>0</v>
      </c>
      <c r="W60" s="75">
        <f t="shared" si="56"/>
        <v>0</v>
      </c>
      <c r="X60" s="75">
        <f t="shared" si="57"/>
        <v>0</v>
      </c>
      <c r="Y60" s="78"/>
      <c r="Z60" s="83">
        <f t="shared" si="58"/>
        <v>20</v>
      </c>
      <c r="AA60" s="84" t="s">
        <v>156</v>
      </c>
      <c r="AB60" s="84">
        <f t="shared" si="59"/>
        <v>0.1</v>
      </c>
      <c r="AC60" s="84">
        <f t="shared" si="123"/>
        <v>20</v>
      </c>
      <c r="AD60" s="37">
        <f t="shared" si="60"/>
        <v>0</v>
      </c>
      <c r="AE60" s="192"/>
      <c r="AF60" s="85">
        <f t="shared" si="61"/>
        <v>0.19</v>
      </c>
      <c r="AG60" s="279"/>
      <c r="AH60" s="85">
        <f t="shared" si="62"/>
        <v>0.8</v>
      </c>
      <c r="AI60" s="81"/>
      <c r="AJ60" s="85">
        <f t="shared" si="63"/>
        <v>1.2</v>
      </c>
      <c r="AK60" s="182">
        <f t="shared" si="124"/>
        <v>3.8</v>
      </c>
      <c r="AL60" s="85">
        <f t="shared" si="64"/>
        <v>0.1</v>
      </c>
      <c r="AM60" s="81"/>
      <c r="AN60" s="85">
        <f t="shared" si="65"/>
        <v>0.18</v>
      </c>
      <c r="AO60" s="38"/>
      <c r="AP60" s="39">
        <f t="shared" si="66"/>
        <v>0.15</v>
      </c>
      <c r="AQ60" s="38"/>
      <c r="AR60" s="40">
        <f t="shared" si="67"/>
        <v>0</v>
      </c>
      <c r="AS60" s="40">
        <f t="shared" si="68"/>
        <v>0</v>
      </c>
      <c r="AT60" s="40">
        <f t="shared" si="69"/>
        <v>0</v>
      </c>
      <c r="AU60" s="40">
        <f t="shared" si="70"/>
        <v>15.96</v>
      </c>
      <c r="AV60" s="40">
        <f t="shared" si="71"/>
        <v>0</v>
      </c>
      <c r="AW60" s="40">
        <f t="shared" si="72"/>
        <v>0</v>
      </c>
      <c r="AX60" s="75">
        <f t="shared" si="73"/>
        <v>15.96</v>
      </c>
      <c r="AY60" s="75">
        <f t="shared" si="74"/>
        <v>29.812906536000011</v>
      </c>
      <c r="AZ60" s="86">
        <f t="shared" si="75"/>
        <v>0</v>
      </c>
      <c r="BA60" s="143">
        <f t="shared" si="76"/>
        <v>45.772906536000008</v>
      </c>
      <c r="BB60" s="144">
        <f t="shared" si="77"/>
        <v>9.1545813072000026</v>
      </c>
      <c r="BC60" s="143">
        <f t="shared" si="78"/>
        <v>54.927487843200012</v>
      </c>
      <c r="BD60" s="87">
        <v>50</v>
      </c>
      <c r="BE60" s="143">
        <f t="shared" si="79"/>
        <v>13.157894736842106</v>
      </c>
      <c r="BF60" s="88"/>
      <c r="BG60" s="89">
        <f t="shared" si="80"/>
        <v>0</v>
      </c>
      <c r="BH60" s="89">
        <f t="shared" si="81"/>
        <v>30.4</v>
      </c>
      <c r="BI60" s="89">
        <f t="shared" si="82"/>
        <v>700</v>
      </c>
      <c r="BJ60" s="90">
        <f t="shared" si="83"/>
        <v>0.85</v>
      </c>
      <c r="BK60" s="89">
        <f t="shared" si="84"/>
        <v>0</v>
      </c>
      <c r="BL60" s="109"/>
      <c r="BM60" s="110">
        <f t="shared" si="85"/>
        <v>30.4</v>
      </c>
      <c r="BN60" s="45">
        <f t="shared" si="86"/>
        <v>18</v>
      </c>
      <c r="BO60" s="45">
        <f t="shared" si="87"/>
        <v>26</v>
      </c>
      <c r="BP60" s="89">
        <f t="shared" si="88"/>
        <v>0</v>
      </c>
      <c r="BQ60" s="91"/>
      <c r="BR60" s="41">
        <f t="shared" si="89"/>
        <v>0</v>
      </c>
      <c r="BS60" s="110">
        <f t="shared" si="90"/>
        <v>30.4</v>
      </c>
      <c r="BT60" s="110">
        <f t="shared" si="91"/>
        <v>10.857142857142858</v>
      </c>
    </row>
    <row r="61" spans="2:72" s="92" customFormat="1" x14ac:dyDescent="0.2">
      <c r="B61" s="190" t="s">
        <v>218</v>
      </c>
      <c r="C61" s="184" t="s">
        <v>129</v>
      </c>
      <c r="D61" s="174"/>
      <c r="E61" s="93" t="s">
        <v>153</v>
      </c>
      <c r="F61" s="185">
        <v>1.6</v>
      </c>
      <c r="G61" s="186"/>
      <c r="H61" s="82"/>
      <c r="I61" s="74">
        <f t="shared" si="125"/>
        <v>7.2</v>
      </c>
      <c r="J61" s="147"/>
      <c r="K61" s="75">
        <f t="shared" si="50"/>
        <v>11.520000000000001</v>
      </c>
      <c r="L61" s="75" t="str">
        <f t="shared" si="51"/>
        <v/>
      </c>
      <c r="M61" s="75">
        <f t="shared" si="52"/>
        <v>11.520000000000001</v>
      </c>
      <c r="N61" s="172">
        <f t="shared" si="53"/>
        <v>0.76959999999999995</v>
      </c>
      <c r="O61" s="178">
        <v>50</v>
      </c>
      <c r="P61" s="179">
        <v>50</v>
      </c>
      <c r="Q61" s="177"/>
      <c r="R61" s="75">
        <f t="shared" si="54"/>
        <v>31.25</v>
      </c>
      <c r="S61" s="94" t="s">
        <v>239</v>
      </c>
      <c r="T61" s="180"/>
      <c r="U61" s="95"/>
      <c r="V61" s="75">
        <f t="shared" si="55"/>
        <v>0</v>
      </c>
      <c r="W61" s="75">
        <f t="shared" si="56"/>
        <v>0</v>
      </c>
      <c r="X61" s="75">
        <f t="shared" si="57"/>
        <v>0</v>
      </c>
      <c r="Y61" s="78"/>
      <c r="Z61" s="83">
        <f t="shared" si="58"/>
        <v>20</v>
      </c>
      <c r="AA61" s="84" t="s">
        <v>156</v>
      </c>
      <c r="AB61" s="84">
        <f t="shared" si="59"/>
        <v>0.1</v>
      </c>
      <c r="AC61" s="84">
        <f t="shared" si="123"/>
        <v>20</v>
      </c>
      <c r="AD61" s="37">
        <f t="shared" si="60"/>
        <v>50</v>
      </c>
      <c r="AE61" s="192"/>
      <c r="AF61" s="85">
        <f t="shared" si="61"/>
        <v>0.19</v>
      </c>
      <c r="AG61" s="279"/>
      <c r="AH61" s="85">
        <f t="shared" si="62"/>
        <v>0.8</v>
      </c>
      <c r="AI61" s="81"/>
      <c r="AJ61" s="85">
        <f t="shared" si="63"/>
        <v>1.2</v>
      </c>
      <c r="AK61" s="182">
        <f t="shared" si="124"/>
        <v>1.6</v>
      </c>
      <c r="AL61" s="85">
        <f t="shared" si="64"/>
        <v>0.1</v>
      </c>
      <c r="AM61" s="81"/>
      <c r="AN61" s="85">
        <f t="shared" si="65"/>
        <v>0.18</v>
      </c>
      <c r="AO61" s="38"/>
      <c r="AP61" s="39">
        <f t="shared" si="66"/>
        <v>0.15</v>
      </c>
      <c r="AQ61" s="38"/>
      <c r="AR61" s="40">
        <f t="shared" si="67"/>
        <v>0</v>
      </c>
      <c r="AS61" s="40">
        <f t="shared" si="68"/>
        <v>0</v>
      </c>
      <c r="AT61" s="40">
        <f t="shared" si="69"/>
        <v>0</v>
      </c>
      <c r="AU61" s="40">
        <f t="shared" si="70"/>
        <v>6.7200000000000015</v>
      </c>
      <c r="AV61" s="40">
        <f t="shared" si="71"/>
        <v>0</v>
      </c>
      <c r="AW61" s="40">
        <f t="shared" si="72"/>
        <v>0</v>
      </c>
      <c r="AX61" s="75">
        <f t="shared" si="73"/>
        <v>6.7200000000000015</v>
      </c>
      <c r="AY61" s="75">
        <f t="shared" si="74"/>
        <v>12.552802752000003</v>
      </c>
      <c r="AZ61" s="86">
        <f t="shared" si="75"/>
        <v>0</v>
      </c>
      <c r="BA61" s="143">
        <f t="shared" si="76"/>
        <v>19.272802752000004</v>
      </c>
      <c r="BB61" s="144">
        <f t="shared" si="77"/>
        <v>3.8545605504000009</v>
      </c>
      <c r="BC61" s="143">
        <f t="shared" si="78"/>
        <v>23.127363302400006</v>
      </c>
      <c r="BD61" s="87">
        <v>0</v>
      </c>
      <c r="BE61" s="143">
        <f t="shared" si="79"/>
        <v>0</v>
      </c>
      <c r="BF61" s="88"/>
      <c r="BG61" s="89">
        <f t="shared" si="80"/>
        <v>0</v>
      </c>
      <c r="BH61" s="89">
        <f t="shared" si="81"/>
        <v>12.8</v>
      </c>
      <c r="BI61" s="89">
        <f t="shared" si="82"/>
        <v>700</v>
      </c>
      <c r="BJ61" s="90">
        <f t="shared" si="83"/>
        <v>0.85</v>
      </c>
      <c r="BK61" s="89">
        <f t="shared" si="84"/>
        <v>0</v>
      </c>
      <c r="BL61" s="109"/>
      <c r="BM61" s="110">
        <f t="shared" si="85"/>
        <v>12.8</v>
      </c>
      <c r="BN61" s="45">
        <f t="shared" si="86"/>
        <v>18</v>
      </c>
      <c r="BO61" s="45">
        <f t="shared" si="87"/>
        <v>26</v>
      </c>
      <c r="BP61" s="89">
        <f t="shared" si="88"/>
        <v>140</v>
      </c>
      <c r="BQ61" s="91"/>
      <c r="BR61" s="41">
        <f t="shared" si="89"/>
        <v>140</v>
      </c>
      <c r="BS61" s="110">
        <f t="shared" si="90"/>
        <v>-127.2</v>
      </c>
      <c r="BT61" s="110" t="str">
        <f t="shared" si="91"/>
        <v/>
      </c>
    </row>
    <row r="62" spans="2:72" s="92" customFormat="1" x14ac:dyDescent="0.2">
      <c r="B62" s="190" t="s">
        <v>219</v>
      </c>
      <c r="C62" s="184" t="s">
        <v>123</v>
      </c>
      <c r="D62" s="174"/>
      <c r="E62" s="93" t="s">
        <v>153</v>
      </c>
      <c r="F62" s="185">
        <v>8</v>
      </c>
      <c r="G62" s="186"/>
      <c r="H62" s="82"/>
      <c r="I62" s="74">
        <f t="shared" si="125"/>
        <v>7.2</v>
      </c>
      <c r="J62" s="147"/>
      <c r="K62" s="75">
        <f t="shared" si="50"/>
        <v>57.6</v>
      </c>
      <c r="L62" s="75" t="str">
        <f t="shared" si="51"/>
        <v/>
      </c>
      <c r="M62" s="75">
        <f t="shared" si="52"/>
        <v>57.6</v>
      </c>
      <c r="N62" s="172" t="e">
        <f t="shared" si="53"/>
        <v>#DIV/0!</v>
      </c>
      <c r="O62" s="178"/>
      <c r="P62" s="179">
        <v>135</v>
      </c>
      <c r="Q62" s="177"/>
      <c r="R62" s="75">
        <f t="shared" si="54"/>
        <v>0</v>
      </c>
      <c r="S62" s="94" t="s">
        <v>239</v>
      </c>
      <c r="T62" s="180"/>
      <c r="U62" s="95"/>
      <c r="V62" s="75">
        <f t="shared" si="55"/>
        <v>0</v>
      </c>
      <c r="W62" s="75">
        <f t="shared" si="56"/>
        <v>0</v>
      </c>
      <c r="X62" s="75">
        <f t="shared" si="57"/>
        <v>0</v>
      </c>
      <c r="Y62" s="78"/>
      <c r="Z62" s="83">
        <f t="shared" si="58"/>
        <v>20</v>
      </c>
      <c r="AA62" s="84" t="s">
        <v>156</v>
      </c>
      <c r="AB62" s="84">
        <f t="shared" si="59"/>
        <v>0.1</v>
      </c>
      <c r="AC62" s="84">
        <f t="shared" si="123"/>
        <v>20</v>
      </c>
      <c r="AD62" s="37">
        <f t="shared" si="60"/>
        <v>0</v>
      </c>
      <c r="AE62" s="192"/>
      <c r="AF62" s="85">
        <f t="shared" si="61"/>
        <v>0.19</v>
      </c>
      <c r="AG62" s="279"/>
      <c r="AH62" s="85">
        <f t="shared" si="62"/>
        <v>0.8</v>
      </c>
      <c r="AI62" s="81"/>
      <c r="AJ62" s="85">
        <f t="shared" si="63"/>
        <v>1.2</v>
      </c>
      <c r="AK62" s="182">
        <f t="shared" si="124"/>
        <v>8</v>
      </c>
      <c r="AL62" s="85">
        <f t="shared" si="64"/>
        <v>0.1</v>
      </c>
      <c r="AM62" s="81"/>
      <c r="AN62" s="85">
        <f t="shared" si="65"/>
        <v>0.18</v>
      </c>
      <c r="AO62" s="38"/>
      <c r="AP62" s="39">
        <f t="shared" si="66"/>
        <v>0.15</v>
      </c>
      <c r="AQ62" s="38"/>
      <c r="AR62" s="40">
        <f t="shared" si="67"/>
        <v>0</v>
      </c>
      <c r="AS62" s="40">
        <f t="shared" si="68"/>
        <v>0</v>
      </c>
      <c r="AT62" s="40">
        <f t="shared" si="69"/>
        <v>0</v>
      </c>
      <c r="AU62" s="40">
        <f t="shared" si="70"/>
        <v>33.6</v>
      </c>
      <c r="AV62" s="40">
        <f t="shared" si="71"/>
        <v>0</v>
      </c>
      <c r="AW62" s="40">
        <f t="shared" si="72"/>
        <v>0</v>
      </c>
      <c r="AX62" s="75">
        <f t="shared" si="73"/>
        <v>33.6</v>
      </c>
      <c r="AY62" s="75">
        <f t="shared" si="74"/>
        <v>62.764013760000012</v>
      </c>
      <c r="AZ62" s="86">
        <f t="shared" si="75"/>
        <v>0</v>
      </c>
      <c r="BA62" s="143">
        <f t="shared" si="76"/>
        <v>96.364013760000006</v>
      </c>
      <c r="BB62" s="144">
        <f t="shared" si="77"/>
        <v>19.272802752000004</v>
      </c>
      <c r="BC62" s="143">
        <f t="shared" si="78"/>
        <v>115.63681651200001</v>
      </c>
      <c r="BD62" s="87">
        <v>240</v>
      </c>
      <c r="BE62" s="143">
        <f t="shared" si="79"/>
        <v>30</v>
      </c>
      <c r="BF62" s="88"/>
      <c r="BG62" s="89">
        <f t="shared" si="80"/>
        <v>0</v>
      </c>
      <c r="BH62" s="89">
        <f t="shared" si="81"/>
        <v>64</v>
      </c>
      <c r="BI62" s="89">
        <f t="shared" si="82"/>
        <v>700</v>
      </c>
      <c r="BJ62" s="90">
        <f t="shared" si="83"/>
        <v>0.85</v>
      </c>
      <c r="BK62" s="89">
        <f t="shared" si="84"/>
        <v>0</v>
      </c>
      <c r="BL62" s="109"/>
      <c r="BM62" s="110">
        <f t="shared" si="85"/>
        <v>64</v>
      </c>
      <c r="BN62" s="45">
        <f t="shared" si="86"/>
        <v>18</v>
      </c>
      <c r="BO62" s="45">
        <f t="shared" si="87"/>
        <v>26</v>
      </c>
      <c r="BP62" s="89">
        <f t="shared" si="88"/>
        <v>0</v>
      </c>
      <c r="BQ62" s="91"/>
      <c r="BR62" s="41">
        <f t="shared" si="89"/>
        <v>0</v>
      </c>
      <c r="BS62" s="110">
        <f t="shared" si="90"/>
        <v>64</v>
      </c>
      <c r="BT62" s="110">
        <f t="shared" si="91"/>
        <v>22.857142857142858</v>
      </c>
    </row>
    <row r="63" spans="2:72" s="92" customFormat="1" x14ac:dyDescent="0.2">
      <c r="B63" s="190" t="s">
        <v>220</v>
      </c>
      <c r="C63" s="184" t="s">
        <v>146</v>
      </c>
      <c r="D63" s="174"/>
      <c r="E63" s="93" t="s">
        <v>153</v>
      </c>
      <c r="F63" s="185">
        <v>7.5</v>
      </c>
      <c r="G63" s="186"/>
      <c r="H63" s="82"/>
      <c r="I63" s="74">
        <f t="shared" si="125"/>
        <v>7.2</v>
      </c>
      <c r="J63" s="147"/>
      <c r="K63" s="75">
        <f t="shared" si="50"/>
        <v>54</v>
      </c>
      <c r="L63" s="75" t="str">
        <f t="shared" si="51"/>
        <v/>
      </c>
      <c r="M63" s="75">
        <f t="shared" si="52"/>
        <v>54</v>
      </c>
      <c r="N63" s="172">
        <f t="shared" si="53"/>
        <v>0.1</v>
      </c>
      <c r="O63" s="178">
        <v>60</v>
      </c>
      <c r="P63" s="179">
        <v>60</v>
      </c>
      <c r="Q63" s="177"/>
      <c r="R63" s="75">
        <f t="shared" si="54"/>
        <v>8</v>
      </c>
      <c r="S63" s="94" t="s">
        <v>239</v>
      </c>
      <c r="T63" s="180"/>
      <c r="U63" s="95"/>
      <c r="V63" s="75">
        <f t="shared" si="55"/>
        <v>0</v>
      </c>
      <c r="W63" s="75">
        <f t="shared" si="56"/>
        <v>0</v>
      </c>
      <c r="X63" s="75">
        <f t="shared" si="57"/>
        <v>0</v>
      </c>
      <c r="Y63" s="78"/>
      <c r="Z63" s="83">
        <f t="shared" si="58"/>
        <v>20</v>
      </c>
      <c r="AA63" s="84" t="s">
        <v>156</v>
      </c>
      <c r="AB63" s="84">
        <f t="shared" si="59"/>
        <v>0.1</v>
      </c>
      <c r="AC63" s="84">
        <f t="shared" si="123"/>
        <v>20</v>
      </c>
      <c r="AD63" s="37">
        <f t="shared" si="60"/>
        <v>60</v>
      </c>
      <c r="AE63" s="192"/>
      <c r="AF63" s="85">
        <f t="shared" si="61"/>
        <v>0.19</v>
      </c>
      <c r="AG63" s="279"/>
      <c r="AH63" s="85">
        <f t="shared" si="62"/>
        <v>0.8</v>
      </c>
      <c r="AI63" s="81"/>
      <c r="AJ63" s="85">
        <f t="shared" si="63"/>
        <v>1.2</v>
      </c>
      <c r="AK63" s="182">
        <f t="shared" si="124"/>
        <v>7.5</v>
      </c>
      <c r="AL63" s="85">
        <f t="shared" si="64"/>
        <v>0.1</v>
      </c>
      <c r="AM63" s="81"/>
      <c r="AN63" s="85">
        <f t="shared" si="65"/>
        <v>0.18</v>
      </c>
      <c r="AO63" s="38"/>
      <c r="AP63" s="39">
        <f t="shared" si="66"/>
        <v>0.15</v>
      </c>
      <c r="AQ63" s="38"/>
      <c r="AR63" s="40">
        <f t="shared" si="67"/>
        <v>0</v>
      </c>
      <c r="AS63" s="40">
        <f t="shared" si="68"/>
        <v>0</v>
      </c>
      <c r="AT63" s="40">
        <f t="shared" si="69"/>
        <v>0</v>
      </c>
      <c r="AU63" s="40">
        <f t="shared" si="70"/>
        <v>31.5</v>
      </c>
      <c r="AV63" s="40">
        <f t="shared" si="71"/>
        <v>0</v>
      </c>
      <c r="AW63" s="40">
        <f t="shared" si="72"/>
        <v>0</v>
      </c>
      <c r="AX63" s="75">
        <f t="shared" si="73"/>
        <v>31.5</v>
      </c>
      <c r="AY63" s="75">
        <f t="shared" si="74"/>
        <v>58.841262900000011</v>
      </c>
      <c r="AZ63" s="86">
        <f t="shared" si="75"/>
        <v>0</v>
      </c>
      <c r="BA63" s="143">
        <f t="shared" si="76"/>
        <v>90.341262900000004</v>
      </c>
      <c r="BB63" s="144">
        <f t="shared" si="77"/>
        <v>18.068252580000003</v>
      </c>
      <c r="BC63" s="143">
        <f t="shared" si="78"/>
        <v>108.40951548000001</v>
      </c>
      <c r="BD63" s="87">
        <v>0</v>
      </c>
      <c r="BE63" s="143">
        <f t="shared" si="79"/>
        <v>0</v>
      </c>
      <c r="BF63" s="88"/>
      <c r="BG63" s="89">
        <f t="shared" si="80"/>
        <v>0</v>
      </c>
      <c r="BH63" s="89">
        <f t="shared" si="81"/>
        <v>60</v>
      </c>
      <c r="BI63" s="89">
        <f t="shared" si="82"/>
        <v>700</v>
      </c>
      <c r="BJ63" s="90">
        <f t="shared" si="83"/>
        <v>0.85</v>
      </c>
      <c r="BK63" s="89">
        <f t="shared" si="84"/>
        <v>0</v>
      </c>
      <c r="BL63" s="109"/>
      <c r="BM63" s="110">
        <f t="shared" si="85"/>
        <v>60</v>
      </c>
      <c r="BN63" s="45">
        <f t="shared" si="86"/>
        <v>18</v>
      </c>
      <c r="BO63" s="45">
        <f t="shared" si="87"/>
        <v>26</v>
      </c>
      <c r="BP63" s="89">
        <f t="shared" si="88"/>
        <v>168</v>
      </c>
      <c r="BQ63" s="91"/>
      <c r="BR63" s="41">
        <f t="shared" si="89"/>
        <v>168</v>
      </c>
      <c r="BS63" s="110">
        <f t="shared" si="90"/>
        <v>-108</v>
      </c>
      <c r="BT63" s="110" t="str">
        <f t="shared" si="91"/>
        <v/>
      </c>
    </row>
    <row r="64" spans="2:72" s="92" customFormat="1" x14ac:dyDescent="0.2">
      <c r="B64" s="190" t="s">
        <v>251</v>
      </c>
      <c r="C64" s="184" t="s">
        <v>245</v>
      </c>
      <c r="D64" s="174"/>
      <c r="E64" s="93" t="s">
        <v>153</v>
      </c>
      <c r="F64" s="185">
        <v>11.8</v>
      </c>
      <c r="G64" s="186"/>
      <c r="H64" s="82"/>
      <c r="I64" s="74">
        <f t="shared" si="125"/>
        <v>7.2</v>
      </c>
      <c r="J64" s="147"/>
      <c r="K64" s="75">
        <f t="shared" si="50"/>
        <v>84.960000000000008</v>
      </c>
      <c r="L64" s="75" t="str">
        <f t="shared" si="51"/>
        <v/>
      </c>
      <c r="M64" s="75">
        <f t="shared" si="52"/>
        <v>84.960000000000008</v>
      </c>
      <c r="N64" s="172">
        <f t="shared" si="53"/>
        <v>5.5999999999999911E-2</v>
      </c>
      <c r="O64" s="178">
        <v>90</v>
      </c>
      <c r="P64" s="179">
        <v>90</v>
      </c>
      <c r="Q64" s="177"/>
      <c r="R64" s="75">
        <f t="shared" si="54"/>
        <v>7.6271186440677958</v>
      </c>
      <c r="S64" s="94" t="s">
        <v>239</v>
      </c>
      <c r="T64" s="180" t="s">
        <v>173</v>
      </c>
      <c r="U64" s="95"/>
      <c r="V64" s="75">
        <f t="shared" si="55"/>
        <v>90</v>
      </c>
      <c r="W64" s="75">
        <f t="shared" si="56"/>
        <v>45</v>
      </c>
      <c r="X64" s="75">
        <f t="shared" si="57"/>
        <v>13.5</v>
      </c>
      <c r="Y64" s="78"/>
      <c r="Z64" s="83">
        <f t="shared" si="58"/>
        <v>20</v>
      </c>
      <c r="AA64" s="84" t="s">
        <v>243</v>
      </c>
      <c r="AB64" s="84">
        <f t="shared" si="59"/>
        <v>0.1</v>
      </c>
      <c r="AC64" s="84">
        <f t="shared" si="123"/>
        <v>20</v>
      </c>
      <c r="AD64" s="37">
        <f t="shared" si="60"/>
        <v>90</v>
      </c>
      <c r="AE64" s="192">
        <v>2.7</v>
      </c>
      <c r="AF64" s="85">
        <f t="shared" si="61"/>
        <v>0.19</v>
      </c>
      <c r="AG64" s="279"/>
      <c r="AH64" s="85">
        <f t="shared" si="62"/>
        <v>0.8</v>
      </c>
      <c r="AI64" s="81"/>
      <c r="AJ64" s="85">
        <f t="shared" si="63"/>
        <v>1.2</v>
      </c>
      <c r="AK64" s="182">
        <f t="shared" si="124"/>
        <v>11.8</v>
      </c>
      <c r="AL64" s="85">
        <f t="shared" si="64"/>
        <v>0.1</v>
      </c>
      <c r="AM64" s="81"/>
      <c r="AN64" s="85">
        <f t="shared" si="65"/>
        <v>0.18</v>
      </c>
      <c r="AO64" s="38"/>
      <c r="AP64" s="39">
        <f t="shared" si="66"/>
        <v>0.15</v>
      </c>
      <c r="AQ64" s="38"/>
      <c r="AR64" s="40">
        <f t="shared" si="67"/>
        <v>118.07208000000003</v>
      </c>
      <c r="AS64" s="40">
        <f t="shared" si="68"/>
        <v>0</v>
      </c>
      <c r="AT64" s="40">
        <f t="shared" si="69"/>
        <v>0</v>
      </c>
      <c r="AU64" s="40">
        <f t="shared" si="70"/>
        <v>49.560000000000009</v>
      </c>
      <c r="AV64" s="40">
        <f t="shared" si="71"/>
        <v>0</v>
      </c>
      <c r="AW64" s="40">
        <f t="shared" si="72"/>
        <v>0</v>
      </c>
      <c r="AX64" s="75">
        <f t="shared" si="73"/>
        <v>167.63208000000003</v>
      </c>
      <c r="AY64" s="75">
        <f t="shared" si="74"/>
        <v>93.086518022400043</v>
      </c>
      <c r="AZ64" s="86">
        <f t="shared" si="75"/>
        <v>0</v>
      </c>
      <c r="BA64" s="143">
        <f t="shared" si="76"/>
        <v>260.7185980224001</v>
      </c>
      <c r="BB64" s="144">
        <f t="shared" si="77"/>
        <v>52.143719604480026</v>
      </c>
      <c r="BC64" s="143">
        <f t="shared" si="78"/>
        <v>312.8623176268801</v>
      </c>
      <c r="BD64" s="87">
        <v>350</v>
      </c>
      <c r="BE64" s="143">
        <f t="shared" si="79"/>
        <v>29.66101694915254</v>
      </c>
      <c r="BF64" s="88"/>
      <c r="BG64" s="89">
        <f t="shared" si="80"/>
        <v>0</v>
      </c>
      <c r="BH64" s="89">
        <f t="shared" si="81"/>
        <v>94.4</v>
      </c>
      <c r="BI64" s="89">
        <f t="shared" si="82"/>
        <v>700</v>
      </c>
      <c r="BJ64" s="90">
        <f t="shared" si="83"/>
        <v>0.85</v>
      </c>
      <c r="BK64" s="89">
        <f t="shared" si="84"/>
        <v>0</v>
      </c>
      <c r="BL64" s="109"/>
      <c r="BM64" s="110">
        <f t="shared" si="85"/>
        <v>94.4</v>
      </c>
      <c r="BN64" s="45">
        <f t="shared" si="86"/>
        <v>18</v>
      </c>
      <c r="BO64" s="45">
        <f t="shared" si="87"/>
        <v>26</v>
      </c>
      <c r="BP64" s="89">
        <f t="shared" si="88"/>
        <v>251.99999999999997</v>
      </c>
      <c r="BQ64" s="91"/>
      <c r="BR64" s="41">
        <f t="shared" si="89"/>
        <v>251.99999999999997</v>
      </c>
      <c r="BS64" s="110">
        <f t="shared" si="90"/>
        <v>-157.59999999999997</v>
      </c>
      <c r="BT64" s="110" t="str">
        <f t="shared" si="91"/>
        <v/>
      </c>
    </row>
    <row r="65" spans="2:72" s="92" customFormat="1" x14ac:dyDescent="0.2">
      <c r="B65" s="190" t="s">
        <v>210</v>
      </c>
      <c r="C65" s="184" t="s">
        <v>145</v>
      </c>
      <c r="D65" s="174"/>
      <c r="E65" s="93" t="s">
        <v>153</v>
      </c>
      <c r="F65" s="185">
        <v>5.2</v>
      </c>
      <c r="G65" s="186"/>
      <c r="H65" s="82"/>
      <c r="I65" s="74">
        <f t="shared" si="125"/>
        <v>7.2</v>
      </c>
      <c r="J65" s="147"/>
      <c r="K65" s="75">
        <f t="shared" si="50"/>
        <v>37.440000000000005</v>
      </c>
      <c r="L65" s="75" t="str">
        <f t="shared" si="51"/>
        <v/>
      </c>
      <c r="M65" s="75">
        <f t="shared" si="52"/>
        <v>37.440000000000005</v>
      </c>
      <c r="N65" s="172" t="e">
        <f t="shared" si="53"/>
        <v>#DIV/0!</v>
      </c>
      <c r="O65" s="178"/>
      <c r="P65" s="179">
        <v>100</v>
      </c>
      <c r="Q65" s="177"/>
      <c r="R65" s="75">
        <f t="shared" si="54"/>
        <v>0</v>
      </c>
      <c r="S65" s="94" t="s">
        <v>239</v>
      </c>
      <c r="T65" s="180"/>
      <c r="U65" s="95"/>
      <c r="V65" s="75">
        <f t="shared" si="55"/>
        <v>0</v>
      </c>
      <c r="W65" s="75">
        <f t="shared" si="56"/>
        <v>0</v>
      </c>
      <c r="X65" s="75">
        <f t="shared" si="57"/>
        <v>0</v>
      </c>
      <c r="Y65" s="78"/>
      <c r="Z65" s="83">
        <f t="shared" si="58"/>
        <v>20</v>
      </c>
      <c r="AA65" s="84" t="s">
        <v>156</v>
      </c>
      <c r="AB65" s="84">
        <f t="shared" si="59"/>
        <v>0.1</v>
      </c>
      <c r="AC65" s="84">
        <f t="shared" si="123"/>
        <v>20</v>
      </c>
      <c r="AD65" s="37">
        <f t="shared" si="60"/>
        <v>0</v>
      </c>
      <c r="AE65" s="192"/>
      <c r="AF65" s="85">
        <f t="shared" si="61"/>
        <v>0.19</v>
      </c>
      <c r="AG65" s="279"/>
      <c r="AH65" s="85">
        <f t="shared" si="62"/>
        <v>0.8</v>
      </c>
      <c r="AI65" s="81"/>
      <c r="AJ65" s="85">
        <f t="shared" si="63"/>
        <v>1.2</v>
      </c>
      <c r="AK65" s="182">
        <f t="shared" si="124"/>
        <v>5.2</v>
      </c>
      <c r="AL65" s="85">
        <f t="shared" si="64"/>
        <v>0.1</v>
      </c>
      <c r="AM65" s="81"/>
      <c r="AN65" s="85">
        <f t="shared" si="65"/>
        <v>0.18</v>
      </c>
      <c r="AO65" s="38"/>
      <c r="AP65" s="39">
        <f t="shared" si="66"/>
        <v>0.15</v>
      </c>
      <c r="AQ65" s="38"/>
      <c r="AR65" s="40">
        <f t="shared" si="67"/>
        <v>0</v>
      </c>
      <c r="AS65" s="40">
        <f t="shared" si="68"/>
        <v>0</v>
      </c>
      <c r="AT65" s="40">
        <f t="shared" si="69"/>
        <v>0</v>
      </c>
      <c r="AU65" s="40">
        <f t="shared" si="70"/>
        <v>21.84</v>
      </c>
      <c r="AV65" s="40">
        <f t="shared" si="71"/>
        <v>0</v>
      </c>
      <c r="AW65" s="40">
        <f t="shared" si="72"/>
        <v>0</v>
      </c>
      <c r="AX65" s="75">
        <f t="shared" si="73"/>
        <v>21.84</v>
      </c>
      <c r="AY65" s="75">
        <f t="shared" si="74"/>
        <v>40.796608944000013</v>
      </c>
      <c r="AZ65" s="86">
        <f t="shared" si="75"/>
        <v>0</v>
      </c>
      <c r="BA65" s="143">
        <f t="shared" si="76"/>
        <v>62.636608944000017</v>
      </c>
      <c r="BB65" s="144">
        <f t="shared" si="77"/>
        <v>12.527321788800004</v>
      </c>
      <c r="BC65" s="143">
        <f t="shared" si="78"/>
        <v>75.163930732800026</v>
      </c>
      <c r="BD65" s="87">
        <v>100</v>
      </c>
      <c r="BE65" s="143">
        <f t="shared" si="79"/>
        <v>19.23076923076923</v>
      </c>
      <c r="BF65" s="88"/>
      <c r="BG65" s="89">
        <f t="shared" si="80"/>
        <v>0</v>
      </c>
      <c r="BH65" s="89">
        <f t="shared" si="81"/>
        <v>41.6</v>
      </c>
      <c r="BI65" s="89">
        <f t="shared" si="82"/>
        <v>700</v>
      </c>
      <c r="BJ65" s="90">
        <f t="shared" si="83"/>
        <v>0.85</v>
      </c>
      <c r="BK65" s="89">
        <f t="shared" si="84"/>
        <v>0</v>
      </c>
      <c r="BL65" s="109"/>
      <c r="BM65" s="110">
        <f t="shared" si="85"/>
        <v>41.6</v>
      </c>
      <c r="BN65" s="45">
        <f t="shared" si="86"/>
        <v>18</v>
      </c>
      <c r="BO65" s="45">
        <f t="shared" si="87"/>
        <v>26</v>
      </c>
      <c r="BP65" s="89">
        <f t="shared" si="88"/>
        <v>0</v>
      </c>
      <c r="BQ65" s="91"/>
      <c r="BR65" s="41">
        <f t="shared" si="89"/>
        <v>0</v>
      </c>
      <c r="BS65" s="110">
        <f t="shared" si="90"/>
        <v>41.6</v>
      </c>
      <c r="BT65" s="110">
        <f t="shared" si="91"/>
        <v>14.857142857142859</v>
      </c>
    </row>
    <row r="66" spans="2:72" s="92" customFormat="1" x14ac:dyDescent="0.2">
      <c r="B66" s="190" t="s">
        <v>212</v>
      </c>
      <c r="C66" s="184" t="s">
        <v>211</v>
      </c>
      <c r="D66" s="174"/>
      <c r="E66" s="93" t="s">
        <v>153</v>
      </c>
      <c r="F66" s="185">
        <v>6.8</v>
      </c>
      <c r="G66" s="186"/>
      <c r="H66" s="82"/>
      <c r="I66" s="74">
        <v>3.6</v>
      </c>
      <c r="J66" s="147"/>
      <c r="K66" s="75">
        <f t="shared" si="50"/>
        <v>24.48</v>
      </c>
      <c r="L66" s="75" t="str">
        <f t="shared" si="51"/>
        <v/>
      </c>
      <c r="M66" s="75">
        <f t="shared" si="52"/>
        <v>24.48</v>
      </c>
      <c r="N66" s="172">
        <f t="shared" si="53"/>
        <v>0.51039999999999996</v>
      </c>
      <c r="O66" s="178">
        <v>50</v>
      </c>
      <c r="P66" s="179">
        <v>50</v>
      </c>
      <c r="Q66" s="177"/>
      <c r="R66" s="75">
        <f t="shared" si="54"/>
        <v>7.3529411764705888</v>
      </c>
      <c r="S66" s="94" t="s">
        <v>157</v>
      </c>
      <c r="T66" s="180"/>
      <c r="U66" s="95"/>
      <c r="V66" s="75">
        <f t="shared" si="55"/>
        <v>0</v>
      </c>
      <c r="W66" s="75">
        <f t="shared" si="56"/>
        <v>0</v>
      </c>
      <c r="X66" s="75">
        <f t="shared" si="57"/>
        <v>0</v>
      </c>
      <c r="Y66" s="78"/>
      <c r="Z66" s="83">
        <f t="shared" si="58"/>
        <v>20</v>
      </c>
      <c r="AA66" s="84" t="s">
        <v>156</v>
      </c>
      <c r="AB66" s="84">
        <f t="shared" si="59"/>
        <v>0.1</v>
      </c>
      <c r="AC66" s="84">
        <f t="shared" si="123"/>
        <v>20</v>
      </c>
      <c r="AD66" s="37">
        <f t="shared" si="60"/>
        <v>50</v>
      </c>
      <c r="AE66" s="192"/>
      <c r="AF66" s="85">
        <f t="shared" si="61"/>
        <v>0.19</v>
      </c>
      <c r="AG66" s="279"/>
      <c r="AH66" s="85">
        <f t="shared" si="62"/>
        <v>0.8</v>
      </c>
      <c r="AI66" s="81"/>
      <c r="AJ66" s="85">
        <f t="shared" si="63"/>
        <v>1.2</v>
      </c>
      <c r="AK66" s="182">
        <f t="shared" si="124"/>
        <v>6.8</v>
      </c>
      <c r="AL66" s="85">
        <f t="shared" si="64"/>
        <v>0.1</v>
      </c>
      <c r="AM66" s="81"/>
      <c r="AN66" s="85">
        <f t="shared" si="65"/>
        <v>0.18</v>
      </c>
      <c r="AO66" s="38"/>
      <c r="AP66" s="39">
        <f t="shared" si="66"/>
        <v>0.15</v>
      </c>
      <c r="AQ66" s="38"/>
      <c r="AR66" s="40">
        <f t="shared" si="67"/>
        <v>0</v>
      </c>
      <c r="AS66" s="40">
        <f t="shared" si="68"/>
        <v>0</v>
      </c>
      <c r="AT66" s="40">
        <f t="shared" si="69"/>
        <v>0</v>
      </c>
      <c r="AU66" s="40">
        <f t="shared" si="70"/>
        <v>28.560000000000002</v>
      </c>
      <c r="AV66" s="40">
        <f t="shared" si="71"/>
        <v>0</v>
      </c>
      <c r="AW66" s="40">
        <f t="shared" si="72"/>
        <v>0</v>
      </c>
      <c r="AX66" s="75">
        <f t="shared" si="73"/>
        <v>28.560000000000002</v>
      </c>
      <c r="AY66" s="75">
        <f t="shared" si="74"/>
        <v>53.349411696000018</v>
      </c>
      <c r="AZ66" s="86">
        <f t="shared" si="75"/>
        <v>0</v>
      </c>
      <c r="BA66" s="143">
        <f t="shared" si="76"/>
        <v>81.909411696000021</v>
      </c>
      <c r="BB66" s="144">
        <f t="shared" si="77"/>
        <v>16.381882339200004</v>
      </c>
      <c r="BC66" s="143">
        <f t="shared" si="78"/>
        <v>98.291294035200025</v>
      </c>
      <c r="BD66" s="87">
        <v>140</v>
      </c>
      <c r="BE66" s="143">
        <f t="shared" si="79"/>
        <v>20.588235294117649</v>
      </c>
      <c r="BF66" s="88"/>
      <c r="BG66" s="89">
        <f t="shared" si="80"/>
        <v>0</v>
      </c>
      <c r="BH66" s="89">
        <f t="shared" si="81"/>
        <v>54.4</v>
      </c>
      <c r="BI66" s="89">
        <f t="shared" si="82"/>
        <v>700</v>
      </c>
      <c r="BJ66" s="90">
        <f t="shared" si="83"/>
        <v>0.85</v>
      </c>
      <c r="BK66" s="89">
        <f t="shared" si="84"/>
        <v>0</v>
      </c>
      <c r="BL66" s="109"/>
      <c r="BM66" s="110">
        <f t="shared" si="85"/>
        <v>54.4</v>
      </c>
      <c r="BN66" s="45">
        <f t="shared" si="86"/>
        <v>18</v>
      </c>
      <c r="BO66" s="45">
        <f t="shared" si="87"/>
        <v>26</v>
      </c>
      <c r="BP66" s="89">
        <f t="shared" si="88"/>
        <v>140</v>
      </c>
      <c r="BQ66" s="91"/>
      <c r="BR66" s="41">
        <f t="shared" si="89"/>
        <v>140</v>
      </c>
      <c r="BS66" s="110">
        <f t="shared" si="90"/>
        <v>-85.6</v>
      </c>
      <c r="BT66" s="110" t="str">
        <f t="shared" si="91"/>
        <v/>
      </c>
    </row>
    <row r="67" spans="2:72" s="92" customFormat="1" x14ac:dyDescent="0.2">
      <c r="B67" s="242" t="s">
        <v>246</v>
      </c>
      <c r="C67" s="188" t="s">
        <v>139</v>
      </c>
      <c r="D67" s="174"/>
      <c r="E67" s="93" t="s">
        <v>153</v>
      </c>
      <c r="F67" s="189">
        <v>227</v>
      </c>
      <c r="G67" s="186">
        <v>35</v>
      </c>
      <c r="H67" s="82"/>
      <c r="I67" s="74">
        <f>$I$7</f>
        <v>7.2</v>
      </c>
      <c r="J67" s="147">
        <v>120</v>
      </c>
      <c r="K67" s="75">
        <f t="shared" si="50"/>
        <v>1634.4</v>
      </c>
      <c r="L67" s="75">
        <f t="shared" si="51"/>
        <v>4200</v>
      </c>
      <c r="M67" s="75">
        <f t="shared" si="52"/>
        <v>5834.4</v>
      </c>
      <c r="N67" s="172">
        <f t="shared" si="53"/>
        <v>2.7600000000000062E-2</v>
      </c>
      <c r="O67" s="178">
        <v>6000</v>
      </c>
      <c r="P67" s="179">
        <v>6000</v>
      </c>
      <c r="Q67" s="177"/>
      <c r="R67" s="75">
        <f t="shared" si="54"/>
        <v>26.431718061674008</v>
      </c>
      <c r="S67" s="94" t="s">
        <v>157</v>
      </c>
      <c r="T67" s="180" t="s">
        <v>154</v>
      </c>
      <c r="U67" s="95"/>
      <c r="V67" s="75">
        <f t="shared" si="55"/>
        <v>6000</v>
      </c>
      <c r="W67" s="75">
        <f t="shared" si="56"/>
        <v>3000</v>
      </c>
      <c r="X67" s="75">
        <f t="shared" si="57"/>
        <v>900</v>
      </c>
      <c r="Y67" s="78"/>
      <c r="Z67" s="83">
        <v>20</v>
      </c>
      <c r="AA67" s="84" t="s">
        <v>156</v>
      </c>
      <c r="AB67" s="84">
        <f t="shared" si="59"/>
        <v>0.1</v>
      </c>
      <c r="AC67" s="84" t="s">
        <v>237</v>
      </c>
      <c r="AD67" s="37">
        <f t="shared" si="60"/>
        <v>6000</v>
      </c>
      <c r="AE67" s="192">
        <v>32</v>
      </c>
      <c r="AF67" s="85">
        <f t="shared" si="61"/>
        <v>0.19</v>
      </c>
      <c r="AG67" s="279">
        <v>17.11</v>
      </c>
      <c r="AH67" s="85">
        <f t="shared" si="62"/>
        <v>0.8</v>
      </c>
      <c r="AI67" s="81"/>
      <c r="AJ67" s="85">
        <f t="shared" si="63"/>
        <v>1.2</v>
      </c>
      <c r="AK67" s="182">
        <f t="shared" si="124"/>
        <v>227</v>
      </c>
      <c r="AL67" s="85">
        <f t="shared" si="64"/>
        <v>0.1</v>
      </c>
      <c r="AM67" s="81"/>
      <c r="AN67" s="85">
        <f t="shared" si="65"/>
        <v>0.18</v>
      </c>
      <c r="AO67" s="38"/>
      <c r="AP67" s="39">
        <f t="shared" si="66"/>
        <v>0.15</v>
      </c>
      <c r="AQ67" s="38"/>
      <c r="AR67" s="40">
        <f t="shared" si="67"/>
        <v>1255.1742000000002</v>
      </c>
      <c r="AS67" s="40">
        <f t="shared" si="68"/>
        <v>574.89600000000007</v>
      </c>
      <c r="AT67" s="40">
        <f t="shared" si="69"/>
        <v>0</v>
      </c>
      <c r="AU67" s="40">
        <f t="shared" si="70"/>
        <v>953.40000000000009</v>
      </c>
      <c r="AV67" s="40">
        <f t="shared" si="71"/>
        <v>0</v>
      </c>
      <c r="AW67" s="40">
        <f t="shared" si="72"/>
        <v>0</v>
      </c>
      <c r="AX67" s="75">
        <f t="shared" si="73"/>
        <v>2783.4702000000002</v>
      </c>
      <c r="AY67" s="75">
        <f t="shared" si="74"/>
        <v>1780.9288904400003</v>
      </c>
      <c r="AZ67" s="86">
        <f t="shared" si="75"/>
        <v>-14210.196000000004</v>
      </c>
      <c r="BA67" s="143">
        <f t="shared" si="76"/>
        <v>-9645.796909560002</v>
      </c>
      <c r="BB67" s="144">
        <f t="shared" si="77"/>
        <v>1929.1593819120005</v>
      </c>
      <c r="BC67" s="143">
        <f t="shared" si="78"/>
        <v>0</v>
      </c>
      <c r="BD67" s="87">
        <v>0</v>
      </c>
      <c r="BE67" s="143">
        <f t="shared" si="79"/>
        <v>0</v>
      </c>
      <c r="BF67" s="88"/>
      <c r="BG67" s="89">
        <f t="shared" si="80"/>
        <v>2800</v>
      </c>
      <c r="BH67" s="89">
        <f t="shared" si="81"/>
        <v>1816</v>
      </c>
      <c r="BI67" s="89">
        <f t="shared" si="82"/>
        <v>700</v>
      </c>
      <c r="BJ67" s="90">
        <f t="shared" si="83"/>
        <v>0.85</v>
      </c>
      <c r="BK67" s="89">
        <f t="shared" si="84"/>
        <v>1796.5500000000002</v>
      </c>
      <c r="BL67" s="109"/>
      <c r="BM67" s="110">
        <f t="shared" si="85"/>
        <v>6412.55</v>
      </c>
      <c r="BN67" s="45">
        <f t="shared" si="86"/>
        <v>18</v>
      </c>
      <c r="BO67" s="45">
        <f t="shared" si="87"/>
        <v>26</v>
      </c>
      <c r="BP67" s="89">
        <f t="shared" si="88"/>
        <v>16800</v>
      </c>
      <c r="BQ67" s="91"/>
      <c r="BR67" s="41">
        <f t="shared" si="89"/>
        <v>16800</v>
      </c>
      <c r="BS67" s="110">
        <f t="shared" si="90"/>
        <v>-10387.450000000001</v>
      </c>
      <c r="BT67" s="110" t="str">
        <f t="shared" si="91"/>
        <v/>
      </c>
    </row>
    <row r="68" spans="2:72" s="92" customFormat="1" x14ac:dyDescent="0.2">
      <c r="B68" s="190" t="s">
        <v>213</v>
      </c>
      <c r="C68" s="184" t="s">
        <v>140</v>
      </c>
      <c r="D68" s="174"/>
      <c r="E68" s="93" t="s">
        <v>153</v>
      </c>
      <c r="F68" s="185">
        <v>30.3</v>
      </c>
      <c r="G68" s="186"/>
      <c r="H68" s="82"/>
      <c r="I68" s="74">
        <v>3.6</v>
      </c>
      <c r="J68" s="147"/>
      <c r="K68" s="75">
        <f t="shared" si="50"/>
        <v>109.08</v>
      </c>
      <c r="L68" s="75" t="str">
        <f t="shared" si="51"/>
        <v/>
      </c>
      <c r="M68" s="75">
        <f t="shared" si="52"/>
        <v>109.08</v>
      </c>
      <c r="N68" s="172">
        <f t="shared" si="53"/>
        <v>0.27279999999999999</v>
      </c>
      <c r="O68" s="178">
        <v>150</v>
      </c>
      <c r="P68" s="179">
        <v>150</v>
      </c>
      <c r="Q68" s="177"/>
      <c r="R68" s="75">
        <f t="shared" si="54"/>
        <v>4.9504950495049505</v>
      </c>
      <c r="S68" s="94" t="s">
        <v>157</v>
      </c>
      <c r="T68" s="180"/>
      <c r="U68" s="95"/>
      <c r="V68" s="75">
        <f t="shared" si="55"/>
        <v>0</v>
      </c>
      <c r="W68" s="75">
        <f t="shared" si="56"/>
        <v>0</v>
      </c>
      <c r="X68" s="75">
        <f t="shared" si="57"/>
        <v>0</v>
      </c>
      <c r="Y68" s="78"/>
      <c r="Z68" s="83">
        <f t="shared" ref="Z68:Z83" si="126">$Z$6</f>
        <v>20</v>
      </c>
      <c r="AA68" s="84" t="s">
        <v>156</v>
      </c>
      <c r="AB68" s="84">
        <f t="shared" si="59"/>
        <v>0.1</v>
      </c>
      <c r="AC68" s="84">
        <f t="shared" ref="AC68:AC83" si="127">tilltemper</f>
        <v>20</v>
      </c>
      <c r="AD68" s="37">
        <f t="shared" si="60"/>
        <v>150</v>
      </c>
      <c r="AE68" s="192"/>
      <c r="AF68" s="85">
        <f t="shared" si="61"/>
        <v>0.19</v>
      </c>
      <c r="AG68" s="279"/>
      <c r="AH68" s="85">
        <f t="shared" si="62"/>
        <v>0.8</v>
      </c>
      <c r="AI68" s="81"/>
      <c r="AJ68" s="85">
        <f t="shared" si="63"/>
        <v>1.2</v>
      </c>
      <c r="AK68" s="182">
        <f t="shared" si="124"/>
        <v>30.3</v>
      </c>
      <c r="AL68" s="85">
        <f t="shared" si="64"/>
        <v>0.1</v>
      </c>
      <c r="AM68" s="81"/>
      <c r="AN68" s="85">
        <f t="shared" si="65"/>
        <v>0.18</v>
      </c>
      <c r="AO68" s="38"/>
      <c r="AP68" s="39">
        <f t="shared" si="66"/>
        <v>0.15</v>
      </c>
      <c r="AQ68" s="38"/>
      <c r="AR68" s="40">
        <f t="shared" si="67"/>
        <v>0</v>
      </c>
      <c r="AS68" s="40">
        <f t="shared" si="68"/>
        <v>0</v>
      </c>
      <c r="AT68" s="40">
        <f t="shared" si="69"/>
        <v>0</v>
      </c>
      <c r="AU68" s="40">
        <f t="shared" si="70"/>
        <v>127.26</v>
      </c>
      <c r="AV68" s="40">
        <f t="shared" si="71"/>
        <v>0</v>
      </c>
      <c r="AW68" s="40">
        <f t="shared" si="72"/>
        <v>0</v>
      </c>
      <c r="AX68" s="75">
        <f t="shared" si="73"/>
        <v>127.26</v>
      </c>
      <c r="AY68" s="75">
        <f t="shared" si="74"/>
        <v>237.71870211600009</v>
      </c>
      <c r="AZ68" s="86">
        <f t="shared" si="75"/>
        <v>0</v>
      </c>
      <c r="BA68" s="143">
        <f t="shared" si="76"/>
        <v>364.97870211600008</v>
      </c>
      <c r="BB68" s="144">
        <f t="shared" si="77"/>
        <v>72.995740423200019</v>
      </c>
      <c r="BC68" s="143">
        <f t="shared" si="78"/>
        <v>437.97444253920008</v>
      </c>
      <c r="BD68" s="87">
        <v>0</v>
      </c>
      <c r="BE68" s="143">
        <f t="shared" si="79"/>
        <v>0</v>
      </c>
      <c r="BF68" s="88"/>
      <c r="BG68" s="89">
        <f t="shared" si="80"/>
        <v>0</v>
      </c>
      <c r="BH68" s="89">
        <f t="shared" si="81"/>
        <v>242.4</v>
      </c>
      <c r="BI68" s="89">
        <f t="shared" si="82"/>
        <v>700</v>
      </c>
      <c r="BJ68" s="90">
        <f t="shared" si="83"/>
        <v>0.85</v>
      </c>
      <c r="BK68" s="89">
        <f t="shared" si="84"/>
        <v>0</v>
      </c>
      <c r="BL68" s="109"/>
      <c r="BM68" s="110">
        <f t="shared" si="85"/>
        <v>242.4</v>
      </c>
      <c r="BN68" s="45">
        <f t="shared" si="86"/>
        <v>18</v>
      </c>
      <c r="BO68" s="45">
        <f t="shared" si="87"/>
        <v>26</v>
      </c>
      <c r="BP68" s="89">
        <f t="shared" si="88"/>
        <v>420</v>
      </c>
      <c r="BQ68" s="91"/>
      <c r="BR68" s="41">
        <f t="shared" si="89"/>
        <v>420</v>
      </c>
      <c r="BS68" s="110">
        <f t="shared" si="90"/>
        <v>-177.6</v>
      </c>
      <c r="BT68" s="110" t="str">
        <f t="shared" si="91"/>
        <v/>
      </c>
    </row>
    <row r="69" spans="2:72" s="92" customFormat="1" x14ac:dyDescent="0.2">
      <c r="B69" s="190" t="s">
        <v>250</v>
      </c>
      <c r="C69" s="184" t="s">
        <v>142</v>
      </c>
      <c r="D69" s="174"/>
      <c r="E69" s="93" t="s">
        <v>153</v>
      </c>
      <c r="F69" s="185">
        <v>1.4</v>
      </c>
      <c r="G69" s="186"/>
      <c r="H69" s="82"/>
      <c r="I69" s="74">
        <f>$I$7</f>
        <v>7.2</v>
      </c>
      <c r="J69" s="147"/>
      <c r="K69" s="75">
        <f t="shared" si="50"/>
        <v>10.08</v>
      </c>
      <c r="L69" s="75" t="str">
        <f t="shared" si="51"/>
        <v/>
      </c>
      <c r="M69" s="75">
        <f t="shared" si="52"/>
        <v>10.08</v>
      </c>
      <c r="N69" s="172">
        <f t="shared" si="53"/>
        <v>0.7984</v>
      </c>
      <c r="O69" s="178">
        <v>50</v>
      </c>
      <c r="P69" s="179">
        <v>50</v>
      </c>
      <c r="Q69" s="177"/>
      <c r="R69" s="75">
        <f t="shared" si="54"/>
        <v>35.714285714285715</v>
      </c>
      <c r="S69" s="94" t="s">
        <v>239</v>
      </c>
      <c r="T69" s="180"/>
      <c r="U69" s="95"/>
      <c r="V69" s="75">
        <f t="shared" si="55"/>
        <v>0</v>
      </c>
      <c r="W69" s="75">
        <f t="shared" si="56"/>
        <v>0</v>
      </c>
      <c r="X69" s="75">
        <f t="shared" si="57"/>
        <v>0</v>
      </c>
      <c r="Y69" s="78"/>
      <c r="Z69" s="83">
        <f t="shared" si="126"/>
        <v>20</v>
      </c>
      <c r="AA69" s="84" t="s">
        <v>156</v>
      </c>
      <c r="AB69" s="84">
        <f t="shared" si="59"/>
        <v>0.1</v>
      </c>
      <c r="AC69" s="84">
        <f t="shared" si="127"/>
        <v>20</v>
      </c>
      <c r="AD69" s="37">
        <f t="shared" si="60"/>
        <v>50</v>
      </c>
      <c r="AE69" s="192"/>
      <c r="AF69" s="85">
        <f t="shared" si="61"/>
        <v>0.19</v>
      </c>
      <c r="AG69" s="279"/>
      <c r="AH69" s="85">
        <f t="shared" si="62"/>
        <v>0.8</v>
      </c>
      <c r="AI69" s="81"/>
      <c r="AJ69" s="85">
        <f t="shared" si="63"/>
        <v>1.2</v>
      </c>
      <c r="AK69" s="182">
        <f t="shared" si="124"/>
        <v>1.4</v>
      </c>
      <c r="AL69" s="85">
        <f t="shared" si="64"/>
        <v>0.1</v>
      </c>
      <c r="AM69" s="81"/>
      <c r="AN69" s="85">
        <f t="shared" si="65"/>
        <v>0.18</v>
      </c>
      <c r="AO69" s="38"/>
      <c r="AP69" s="39">
        <f t="shared" si="66"/>
        <v>0.15</v>
      </c>
      <c r="AQ69" s="38"/>
      <c r="AR69" s="40">
        <f t="shared" si="67"/>
        <v>0</v>
      </c>
      <c r="AS69" s="40">
        <f t="shared" si="68"/>
        <v>0</v>
      </c>
      <c r="AT69" s="40">
        <f t="shared" si="69"/>
        <v>0</v>
      </c>
      <c r="AU69" s="40">
        <f t="shared" si="70"/>
        <v>5.879999999999999</v>
      </c>
      <c r="AV69" s="40">
        <f t="shared" si="71"/>
        <v>0</v>
      </c>
      <c r="AW69" s="40">
        <f t="shared" si="72"/>
        <v>0</v>
      </c>
      <c r="AX69" s="75">
        <f t="shared" si="73"/>
        <v>5.879999999999999</v>
      </c>
      <c r="AY69" s="75">
        <f t="shared" si="74"/>
        <v>10.983702408000001</v>
      </c>
      <c r="AZ69" s="86">
        <f t="shared" si="75"/>
        <v>0</v>
      </c>
      <c r="BA69" s="143">
        <f t="shared" si="76"/>
        <v>16.863702408000002</v>
      </c>
      <c r="BB69" s="144">
        <f t="shared" si="77"/>
        <v>3.3727404816000006</v>
      </c>
      <c r="BC69" s="143">
        <f t="shared" si="78"/>
        <v>20.236442889600003</v>
      </c>
      <c r="BD69" s="87">
        <v>0</v>
      </c>
      <c r="BE69" s="143">
        <f t="shared" si="79"/>
        <v>0</v>
      </c>
      <c r="BF69" s="88"/>
      <c r="BG69" s="89">
        <f t="shared" si="80"/>
        <v>0</v>
      </c>
      <c r="BH69" s="89">
        <f t="shared" si="81"/>
        <v>11.2</v>
      </c>
      <c r="BI69" s="89">
        <f t="shared" si="82"/>
        <v>700</v>
      </c>
      <c r="BJ69" s="90">
        <f t="shared" si="83"/>
        <v>0.85</v>
      </c>
      <c r="BK69" s="89">
        <f t="shared" si="84"/>
        <v>0</v>
      </c>
      <c r="BL69" s="109"/>
      <c r="BM69" s="110">
        <f t="shared" si="85"/>
        <v>11.2</v>
      </c>
      <c r="BN69" s="45">
        <f t="shared" si="86"/>
        <v>18</v>
      </c>
      <c r="BO69" s="45">
        <f t="shared" si="87"/>
        <v>26</v>
      </c>
      <c r="BP69" s="89">
        <f t="shared" si="88"/>
        <v>140</v>
      </c>
      <c r="BQ69" s="91"/>
      <c r="BR69" s="41">
        <f t="shared" si="89"/>
        <v>140</v>
      </c>
      <c r="BS69" s="110">
        <f t="shared" si="90"/>
        <v>-128.80000000000001</v>
      </c>
      <c r="BT69" s="110" t="str">
        <f t="shared" si="91"/>
        <v/>
      </c>
    </row>
    <row r="70" spans="2:72" s="92" customFormat="1" x14ac:dyDescent="0.2">
      <c r="B70" s="190" t="s">
        <v>256</v>
      </c>
      <c r="C70" s="184" t="s">
        <v>257</v>
      </c>
      <c r="D70" s="174"/>
      <c r="E70" s="93" t="s">
        <v>247</v>
      </c>
      <c r="F70" s="185">
        <v>1.8</v>
      </c>
      <c r="G70" s="186"/>
      <c r="H70" s="82"/>
      <c r="I70" s="74">
        <v>7.2</v>
      </c>
      <c r="J70" s="147"/>
      <c r="K70" s="75">
        <f t="shared" si="50"/>
        <v>12.96</v>
      </c>
      <c r="L70" s="75" t="str">
        <f t="shared" si="51"/>
        <v/>
      </c>
      <c r="M70" s="75">
        <f t="shared" si="52"/>
        <v>12.96</v>
      </c>
      <c r="N70" s="172" t="e">
        <f t="shared" si="53"/>
        <v>#DIV/0!</v>
      </c>
      <c r="O70" s="178"/>
      <c r="P70" s="179"/>
      <c r="Q70" s="177"/>
      <c r="R70" s="75">
        <f t="shared" si="54"/>
        <v>0</v>
      </c>
      <c r="S70" s="94" t="s">
        <v>239</v>
      </c>
      <c r="T70" s="180"/>
      <c r="U70" s="95"/>
      <c r="V70" s="75">
        <f t="shared" si="55"/>
        <v>0</v>
      </c>
      <c r="W70" s="75">
        <f t="shared" si="56"/>
        <v>0</v>
      </c>
      <c r="X70" s="75">
        <f t="shared" si="57"/>
        <v>0</v>
      </c>
      <c r="Y70" s="78"/>
      <c r="Z70" s="83">
        <f t="shared" si="126"/>
        <v>20</v>
      </c>
      <c r="AA70" s="84" t="s">
        <v>156</v>
      </c>
      <c r="AB70" s="84">
        <f t="shared" si="59"/>
        <v>0.1</v>
      </c>
      <c r="AC70" s="84">
        <f t="shared" si="127"/>
        <v>20</v>
      </c>
      <c r="AD70" s="37">
        <f t="shared" si="60"/>
        <v>0</v>
      </c>
      <c r="AE70" s="192"/>
      <c r="AF70" s="85">
        <f t="shared" si="61"/>
        <v>0.19</v>
      </c>
      <c r="AG70" s="279">
        <v>9.1999999999999993</v>
      </c>
      <c r="AH70" s="85">
        <f t="shared" si="62"/>
        <v>0.8</v>
      </c>
      <c r="AI70" s="81"/>
      <c r="AJ70" s="85">
        <f t="shared" si="63"/>
        <v>1.2</v>
      </c>
      <c r="AK70" s="182">
        <f t="shared" si="124"/>
        <v>1.8</v>
      </c>
      <c r="AL70" s="85">
        <f t="shared" si="64"/>
        <v>0.1</v>
      </c>
      <c r="AM70" s="81"/>
      <c r="AN70" s="85">
        <f t="shared" si="65"/>
        <v>0.18</v>
      </c>
      <c r="AO70" s="38"/>
      <c r="AP70" s="39">
        <f t="shared" si="66"/>
        <v>0.15</v>
      </c>
      <c r="AQ70" s="38"/>
      <c r="AR70" s="40">
        <f t="shared" si="67"/>
        <v>0</v>
      </c>
      <c r="AS70" s="40">
        <f t="shared" si="68"/>
        <v>309.12</v>
      </c>
      <c r="AT70" s="40">
        <f t="shared" si="69"/>
        <v>0</v>
      </c>
      <c r="AU70" s="40">
        <f t="shared" si="70"/>
        <v>7.5600000000000005</v>
      </c>
      <c r="AV70" s="40">
        <f t="shared" si="71"/>
        <v>0</v>
      </c>
      <c r="AW70" s="40">
        <f t="shared" si="72"/>
        <v>0</v>
      </c>
      <c r="AX70" s="75">
        <f t="shared" si="73"/>
        <v>316.68</v>
      </c>
      <c r="AY70" s="75">
        <f t="shared" si="74"/>
        <v>14.121903096000004</v>
      </c>
      <c r="AZ70" s="86">
        <f t="shared" si="75"/>
        <v>0</v>
      </c>
      <c r="BA70" s="143">
        <f t="shared" si="76"/>
        <v>330.80190309599999</v>
      </c>
      <c r="BB70" s="144">
        <f t="shared" si="77"/>
        <v>66.160380619199998</v>
      </c>
      <c r="BC70" s="143">
        <f t="shared" si="78"/>
        <v>396.96228371519999</v>
      </c>
      <c r="BD70" s="87">
        <f>F70*30</f>
        <v>54</v>
      </c>
      <c r="BE70" s="143">
        <f t="shared" si="79"/>
        <v>30</v>
      </c>
      <c r="BF70" s="88"/>
      <c r="BG70" s="89">
        <f t="shared" si="80"/>
        <v>0</v>
      </c>
      <c r="BH70" s="89">
        <f t="shared" si="81"/>
        <v>14.4</v>
      </c>
      <c r="BI70" s="89">
        <f t="shared" si="82"/>
        <v>700</v>
      </c>
      <c r="BJ70" s="90">
        <f t="shared" si="83"/>
        <v>0.85</v>
      </c>
      <c r="BK70" s="89">
        <f t="shared" si="84"/>
        <v>966</v>
      </c>
      <c r="BL70" s="109"/>
      <c r="BM70" s="110">
        <f t="shared" si="85"/>
        <v>980.4</v>
      </c>
      <c r="BN70" s="45">
        <f t="shared" si="86"/>
        <v>18</v>
      </c>
      <c r="BO70" s="45">
        <f t="shared" si="87"/>
        <v>26</v>
      </c>
      <c r="BP70" s="89">
        <f t="shared" si="88"/>
        <v>0</v>
      </c>
      <c r="BQ70" s="91"/>
      <c r="BR70" s="41">
        <f t="shared" si="89"/>
        <v>0</v>
      </c>
      <c r="BS70" s="110">
        <f t="shared" si="90"/>
        <v>980.4</v>
      </c>
      <c r="BT70" s="110">
        <f t="shared" si="91"/>
        <v>350.14285714285717</v>
      </c>
    </row>
    <row r="71" spans="2:72" s="92" customFormat="1" x14ac:dyDescent="0.2">
      <c r="B71" s="190" t="s">
        <v>229</v>
      </c>
      <c r="C71" s="184" t="s">
        <v>122</v>
      </c>
      <c r="D71" s="174"/>
      <c r="E71" s="93" t="s">
        <v>153</v>
      </c>
      <c r="F71" s="185">
        <v>21.4</v>
      </c>
      <c r="G71" s="186"/>
      <c r="H71" s="82"/>
      <c r="I71" s="74">
        <f t="shared" ref="I71:I76" si="128">$I$7</f>
        <v>7.2</v>
      </c>
      <c r="J71" s="147"/>
      <c r="K71" s="75">
        <f t="shared" si="50"/>
        <v>154.07999999999998</v>
      </c>
      <c r="L71" s="75" t="str">
        <f t="shared" si="51"/>
        <v/>
      </c>
      <c r="M71" s="75">
        <f t="shared" si="52"/>
        <v>154.07999999999998</v>
      </c>
      <c r="N71" s="172">
        <f t="shared" si="53"/>
        <v>0.77002985074626873</v>
      </c>
      <c r="O71" s="178">
        <v>670</v>
      </c>
      <c r="P71" s="179"/>
      <c r="Q71" s="177"/>
      <c r="R71" s="75">
        <f t="shared" si="54"/>
        <v>31.308411214953274</v>
      </c>
      <c r="S71" s="94" t="s">
        <v>239</v>
      </c>
      <c r="T71" s="180" t="s">
        <v>154</v>
      </c>
      <c r="U71" s="95"/>
      <c r="V71" s="75">
        <f t="shared" si="55"/>
        <v>670</v>
      </c>
      <c r="W71" s="75">
        <f t="shared" si="56"/>
        <v>335</v>
      </c>
      <c r="X71" s="75">
        <f t="shared" si="57"/>
        <v>100.5</v>
      </c>
      <c r="Y71" s="78"/>
      <c r="Z71" s="83">
        <f t="shared" si="126"/>
        <v>20</v>
      </c>
      <c r="AA71" s="84" t="s">
        <v>156</v>
      </c>
      <c r="AB71" s="84">
        <f t="shared" si="59"/>
        <v>0.1</v>
      </c>
      <c r="AC71" s="84">
        <f t="shared" si="127"/>
        <v>20</v>
      </c>
      <c r="AD71" s="37">
        <f t="shared" si="60"/>
        <v>670</v>
      </c>
      <c r="AE71" s="192"/>
      <c r="AF71" s="85">
        <f t="shared" si="61"/>
        <v>0.19</v>
      </c>
      <c r="AG71" s="279"/>
      <c r="AH71" s="85">
        <f t="shared" si="62"/>
        <v>0.8</v>
      </c>
      <c r="AI71" s="81"/>
      <c r="AJ71" s="85">
        <f t="shared" si="63"/>
        <v>1.2</v>
      </c>
      <c r="AK71" s="182">
        <f t="shared" si="124"/>
        <v>21.4</v>
      </c>
      <c r="AL71" s="85">
        <f t="shared" si="64"/>
        <v>0.1</v>
      </c>
      <c r="AM71" s="81"/>
      <c r="AN71" s="85">
        <f t="shared" si="65"/>
        <v>0.18</v>
      </c>
      <c r="AO71" s="38"/>
      <c r="AP71" s="39">
        <f t="shared" si="66"/>
        <v>0.15</v>
      </c>
      <c r="AQ71" s="38"/>
      <c r="AR71" s="40">
        <f t="shared" si="67"/>
        <v>0</v>
      </c>
      <c r="AS71" s="40">
        <f t="shared" si="68"/>
        <v>0</v>
      </c>
      <c r="AT71" s="40">
        <f t="shared" si="69"/>
        <v>0</v>
      </c>
      <c r="AU71" s="40">
        <f t="shared" si="70"/>
        <v>89.88000000000001</v>
      </c>
      <c r="AV71" s="40">
        <f t="shared" si="71"/>
        <v>0</v>
      </c>
      <c r="AW71" s="40">
        <f t="shared" si="72"/>
        <v>0</v>
      </c>
      <c r="AX71" s="75">
        <f t="shared" si="73"/>
        <v>89.88000000000001</v>
      </c>
      <c r="AY71" s="75">
        <f t="shared" si="74"/>
        <v>167.89373680800003</v>
      </c>
      <c r="AZ71" s="86">
        <f t="shared" si="75"/>
        <v>0</v>
      </c>
      <c r="BA71" s="143">
        <f t="shared" si="76"/>
        <v>257.77373680800002</v>
      </c>
      <c r="BB71" s="144">
        <f t="shared" si="77"/>
        <v>51.554747361600008</v>
      </c>
      <c r="BC71" s="143">
        <f t="shared" si="78"/>
        <v>309.32848416960002</v>
      </c>
      <c r="BD71" s="87">
        <f>F71*50</f>
        <v>1070</v>
      </c>
      <c r="BE71" s="143">
        <f t="shared" si="79"/>
        <v>50</v>
      </c>
      <c r="BF71" s="88"/>
      <c r="BG71" s="89">
        <f t="shared" si="80"/>
        <v>0</v>
      </c>
      <c r="BH71" s="89">
        <f t="shared" si="81"/>
        <v>171.2</v>
      </c>
      <c r="BI71" s="89">
        <f t="shared" si="82"/>
        <v>700</v>
      </c>
      <c r="BJ71" s="90">
        <f t="shared" si="83"/>
        <v>0.85</v>
      </c>
      <c r="BK71" s="89">
        <f t="shared" si="84"/>
        <v>0</v>
      </c>
      <c r="BL71" s="109"/>
      <c r="BM71" s="110">
        <f t="shared" si="85"/>
        <v>171.2</v>
      </c>
      <c r="BN71" s="45">
        <f t="shared" si="86"/>
        <v>18</v>
      </c>
      <c r="BO71" s="45">
        <f t="shared" si="87"/>
        <v>26</v>
      </c>
      <c r="BP71" s="89">
        <f t="shared" si="88"/>
        <v>1875.9999999999998</v>
      </c>
      <c r="BQ71" s="91"/>
      <c r="BR71" s="41">
        <f t="shared" si="89"/>
        <v>1875.9999999999998</v>
      </c>
      <c r="BS71" s="110">
        <f t="shared" si="90"/>
        <v>-1704.7999999999997</v>
      </c>
      <c r="BT71" s="110" t="str">
        <f t="shared" si="91"/>
        <v/>
      </c>
    </row>
    <row r="72" spans="2:72" s="92" customFormat="1" x14ac:dyDescent="0.2">
      <c r="B72" s="190" t="s">
        <v>230</v>
      </c>
      <c r="C72" s="184" t="s">
        <v>121</v>
      </c>
      <c r="D72" s="174"/>
      <c r="E72" s="93" t="s">
        <v>153</v>
      </c>
      <c r="F72" s="185">
        <v>17.3</v>
      </c>
      <c r="G72" s="186">
        <v>7</v>
      </c>
      <c r="H72" s="82"/>
      <c r="I72" s="74">
        <f t="shared" si="128"/>
        <v>7.2</v>
      </c>
      <c r="J72" s="147"/>
      <c r="K72" s="75">
        <f t="shared" si="50"/>
        <v>124.56</v>
      </c>
      <c r="L72" s="75">
        <f t="shared" si="51"/>
        <v>0</v>
      </c>
      <c r="M72" s="75">
        <f t="shared" si="52"/>
        <v>124.56</v>
      </c>
      <c r="N72" s="172" t="e">
        <f t="shared" si="53"/>
        <v>#DIV/0!</v>
      </c>
      <c r="O72" s="178"/>
      <c r="P72" s="179">
        <v>560</v>
      </c>
      <c r="Q72" s="177"/>
      <c r="R72" s="75">
        <f t="shared" si="54"/>
        <v>0</v>
      </c>
      <c r="S72" s="94" t="s">
        <v>239</v>
      </c>
      <c r="T72" s="180" t="s">
        <v>154</v>
      </c>
      <c r="U72" s="95"/>
      <c r="V72" s="75">
        <f t="shared" si="55"/>
        <v>0</v>
      </c>
      <c r="W72" s="75">
        <f t="shared" si="56"/>
        <v>0</v>
      </c>
      <c r="X72" s="75">
        <f t="shared" si="57"/>
        <v>0</v>
      </c>
      <c r="Y72" s="78"/>
      <c r="Z72" s="83">
        <f t="shared" si="126"/>
        <v>20</v>
      </c>
      <c r="AA72" s="84" t="s">
        <v>156</v>
      </c>
      <c r="AB72" s="84">
        <f t="shared" si="59"/>
        <v>0.1</v>
      </c>
      <c r="AC72" s="84">
        <f t="shared" si="127"/>
        <v>20</v>
      </c>
      <c r="AD72" s="37">
        <f t="shared" si="60"/>
        <v>0</v>
      </c>
      <c r="AE72" s="192"/>
      <c r="AF72" s="85">
        <f t="shared" si="61"/>
        <v>0.19</v>
      </c>
      <c r="AG72" s="279"/>
      <c r="AH72" s="85">
        <f t="shared" si="62"/>
        <v>0.8</v>
      </c>
      <c r="AI72" s="81"/>
      <c r="AJ72" s="85">
        <f t="shared" si="63"/>
        <v>1.2</v>
      </c>
      <c r="AK72" s="182">
        <f t="shared" si="124"/>
        <v>17.3</v>
      </c>
      <c r="AL72" s="85">
        <f t="shared" si="64"/>
        <v>0.1</v>
      </c>
      <c r="AM72" s="81"/>
      <c r="AN72" s="85">
        <f t="shared" si="65"/>
        <v>0.18</v>
      </c>
      <c r="AO72" s="38"/>
      <c r="AP72" s="39">
        <f t="shared" si="66"/>
        <v>0.15</v>
      </c>
      <c r="AQ72" s="38"/>
      <c r="AR72" s="40">
        <f t="shared" si="67"/>
        <v>0</v>
      </c>
      <c r="AS72" s="40">
        <f t="shared" si="68"/>
        <v>0</v>
      </c>
      <c r="AT72" s="40">
        <f t="shared" si="69"/>
        <v>0</v>
      </c>
      <c r="AU72" s="40">
        <f t="shared" si="70"/>
        <v>72.660000000000011</v>
      </c>
      <c r="AV72" s="40">
        <f t="shared" si="71"/>
        <v>0</v>
      </c>
      <c r="AW72" s="40">
        <f t="shared" si="72"/>
        <v>0</v>
      </c>
      <c r="AX72" s="75">
        <f t="shared" si="73"/>
        <v>72.660000000000011</v>
      </c>
      <c r="AY72" s="75">
        <f t="shared" si="74"/>
        <v>135.72717975600006</v>
      </c>
      <c r="AZ72" s="86">
        <f t="shared" si="75"/>
        <v>0</v>
      </c>
      <c r="BA72" s="143">
        <f t="shared" si="76"/>
        <v>208.38717975600008</v>
      </c>
      <c r="BB72" s="144">
        <f t="shared" si="77"/>
        <v>41.677435951200017</v>
      </c>
      <c r="BC72" s="143">
        <f t="shared" si="78"/>
        <v>250.06461570720009</v>
      </c>
      <c r="BD72" s="87">
        <f>F72*80</f>
        <v>1384</v>
      </c>
      <c r="BE72" s="143">
        <f t="shared" si="79"/>
        <v>80</v>
      </c>
      <c r="BF72" s="88"/>
      <c r="BG72" s="89">
        <f t="shared" si="80"/>
        <v>560</v>
      </c>
      <c r="BH72" s="89">
        <f t="shared" si="81"/>
        <v>138.4</v>
      </c>
      <c r="BI72" s="89">
        <f t="shared" si="82"/>
        <v>700</v>
      </c>
      <c r="BJ72" s="90">
        <f t="shared" si="83"/>
        <v>0.85</v>
      </c>
      <c r="BK72" s="89">
        <f t="shared" si="84"/>
        <v>0</v>
      </c>
      <c r="BL72" s="109"/>
      <c r="BM72" s="110">
        <f t="shared" si="85"/>
        <v>698.4</v>
      </c>
      <c r="BN72" s="45">
        <f t="shared" si="86"/>
        <v>18</v>
      </c>
      <c r="BO72" s="45">
        <f t="shared" si="87"/>
        <v>26</v>
      </c>
      <c r="BP72" s="89">
        <f t="shared" si="88"/>
        <v>0</v>
      </c>
      <c r="BQ72" s="91"/>
      <c r="BR72" s="41">
        <f t="shared" si="89"/>
        <v>0</v>
      </c>
      <c r="BS72" s="110">
        <f t="shared" si="90"/>
        <v>698.4</v>
      </c>
      <c r="BT72" s="110">
        <f t="shared" si="91"/>
        <v>249.42857142857144</v>
      </c>
    </row>
    <row r="73" spans="2:72" s="92" customFormat="1" x14ac:dyDescent="0.2">
      <c r="B73" s="190" t="s">
        <v>221</v>
      </c>
      <c r="C73" s="184" t="s">
        <v>123</v>
      </c>
      <c r="D73" s="174"/>
      <c r="E73" s="93" t="s">
        <v>153</v>
      </c>
      <c r="F73" s="185">
        <v>6.9</v>
      </c>
      <c r="G73" s="186"/>
      <c r="H73" s="82"/>
      <c r="I73" s="74">
        <f t="shared" si="128"/>
        <v>7.2</v>
      </c>
      <c r="J73" s="147"/>
      <c r="K73" s="75">
        <f t="shared" si="50"/>
        <v>49.680000000000007</v>
      </c>
      <c r="L73" s="75" t="str">
        <f t="shared" si="51"/>
        <v/>
      </c>
      <c r="M73" s="75">
        <f t="shared" si="52"/>
        <v>49.680000000000007</v>
      </c>
      <c r="N73" s="172" t="e">
        <f t="shared" si="53"/>
        <v>#DIV/0!</v>
      </c>
      <c r="O73" s="178"/>
      <c r="P73" s="179">
        <v>110</v>
      </c>
      <c r="Q73" s="177"/>
      <c r="R73" s="75">
        <f t="shared" si="54"/>
        <v>0</v>
      </c>
      <c r="S73" s="94" t="s">
        <v>239</v>
      </c>
      <c r="T73" s="180"/>
      <c r="U73" s="95"/>
      <c r="V73" s="75">
        <f t="shared" si="55"/>
        <v>0</v>
      </c>
      <c r="W73" s="75">
        <f t="shared" si="56"/>
        <v>0</v>
      </c>
      <c r="X73" s="75">
        <f t="shared" si="57"/>
        <v>0</v>
      </c>
      <c r="Y73" s="78"/>
      <c r="Z73" s="83">
        <f t="shared" si="126"/>
        <v>20</v>
      </c>
      <c r="AA73" s="84" t="s">
        <v>156</v>
      </c>
      <c r="AB73" s="84">
        <f t="shared" si="59"/>
        <v>0.1</v>
      </c>
      <c r="AC73" s="84">
        <f t="shared" si="127"/>
        <v>20</v>
      </c>
      <c r="AD73" s="37">
        <f t="shared" si="60"/>
        <v>0</v>
      </c>
      <c r="AE73" s="192"/>
      <c r="AF73" s="85">
        <f t="shared" si="61"/>
        <v>0.19</v>
      </c>
      <c r="AG73" s="279"/>
      <c r="AH73" s="85">
        <f t="shared" si="62"/>
        <v>0.8</v>
      </c>
      <c r="AI73" s="81"/>
      <c r="AJ73" s="85">
        <f t="shared" si="63"/>
        <v>1.2</v>
      </c>
      <c r="AK73" s="182">
        <f t="shared" si="124"/>
        <v>6.9</v>
      </c>
      <c r="AL73" s="85">
        <f t="shared" si="64"/>
        <v>0.1</v>
      </c>
      <c r="AM73" s="81"/>
      <c r="AN73" s="85">
        <f t="shared" si="65"/>
        <v>0.18</v>
      </c>
      <c r="AO73" s="38"/>
      <c r="AP73" s="39">
        <f t="shared" si="66"/>
        <v>0.15</v>
      </c>
      <c r="AQ73" s="38"/>
      <c r="AR73" s="40">
        <f t="shared" si="67"/>
        <v>0</v>
      </c>
      <c r="AS73" s="40">
        <f t="shared" si="68"/>
        <v>0</v>
      </c>
      <c r="AT73" s="40">
        <f t="shared" si="69"/>
        <v>0</v>
      </c>
      <c r="AU73" s="40">
        <f t="shared" si="70"/>
        <v>28.980000000000004</v>
      </c>
      <c r="AV73" s="40">
        <f t="shared" si="71"/>
        <v>0</v>
      </c>
      <c r="AW73" s="40">
        <f t="shared" si="72"/>
        <v>0</v>
      </c>
      <c r="AX73" s="75">
        <f t="shared" si="73"/>
        <v>28.980000000000004</v>
      </c>
      <c r="AY73" s="75">
        <f t="shared" si="74"/>
        <v>54.133961868000014</v>
      </c>
      <c r="AZ73" s="86">
        <f t="shared" si="75"/>
        <v>0</v>
      </c>
      <c r="BA73" s="143">
        <f t="shared" si="76"/>
        <v>83.113961868000018</v>
      </c>
      <c r="BB73" s="144">
        <f t="shared" si="77"/>
        <v>16.622792373600003</v>
      </c>
      <c r="BC73" s="143">
        <f t="shared" si="78"/>
        <v>99.736754241600025</v>
      </c>
      <c r="BD73" s="87">
        <v>210</v>
      </c>
      <c r="BE73" s="143">
        <f t="shared" si="79"/>
        <v>30.434782608695652</v>
      </c>
      <c r="BF73" s="88"/>
      <c r="BG73" s="89">
        <f t="shared" si="80"/>
        <v>0</v>
      </c>
      <c r="BH73" s="89">
        <f t="shared" si="81"/>
        <v>55.2</v>
      </c>
      <c r="BI73" s="89">
        <f t="shared" si="82"/>
        <v>700</v>
      </c>
      <c r="BJ73" s="90">
        <f t="shared" si="83"/>
        <v>0.85</v>
      </c>
      <c r="BK73" s="89">
        <f t="shared" si="84"/>
        <v>0</v>
      </c>
      <c r="BL73" s="109"/>
      <c r="BM73" s="110">
        <f t="shared" si="85"/>
        <v>55.2</v>
      </c>
      <c r="BN73" s="45">
        <f t="shared" si="86"/>
        <v>18</v>
      </c>
      <c r="BO73" s="45">
        <f t="shared" si="87"/>
        <v>26</v>
      </c>
      <c r="BP73" s="89">
        <f t="shared" si="88"/>
        <v>0</v>
      </c>
      <c r="BQ73" s="91"/>
      <c r="BR73" s="41">
        <f t="shared" si="89"/>
        <v>0</v>
      </c>
      <c r="BS73" s="110">
        <f t="shared" si="90"/>
        <v>55.2</v>
      </c>
      <c r="BT73" s="110">
        <f t="shared" si="91"/>
        <v>19.714285714285715</v>
      </c>
    </row>
    <row r="74" spans="2:72" s="92" customFormat="1" x14ac:dyDescent="0.2">
      <c r="B74" s="190" t="s">
        <v>227</v>
      </c>
      <c r="C74" s="184" t="s">
        <v>122</v>
      </c>
      <c r="D74" s="174"/>
      <c r="E74" s="93" t="s">
        <v>153</v>
      </c>
      <c r="F74" s="185">
        <v>23.4</v>
      </c>
      <c r="G74" s="186"/>
      <c r="H74" s="82"/>
      <c r="I74" s="74">
        <f t="shared" si="128"/>
        <v>7.2</v>
      </c>
      <c r="J74" s="147"/>
      <c r="K74" s="75">
        <f t="shared" si="50"/>
        <v>168.48</v>
      </c>
      <c r="L74" s="75" t="str">
        <f t="shared" si="51"/>
        <v/>
      </c>
      <c r="M74" s="75">
        <f t="shared" si="52"/>
        <v>168.48</v>
      </c>
      <c r="N74" s="172">
        <f t="shared" si="53"/>
        <v>0.7485373134328358</v>
      </c>
      <c r="O74" s="178">
        <v>670</v>
      </c>
      <c r="P74" s="179"/>
      <c r="Q74" s="177"/>
      <c r="R74" s="75">
        <f t="shared" si="54"/>
        <v>28.632478632478634</v>
      </c>
      <c r="S74" s="94" t="s">
        <v>239</v>
      </c>
      <c r="T74" s="180" t="s">
        <v>154</v>
      </c>
      <c r="U74" s="95"/>
      <c r="V74" s="75">
        <f t="shared" si="55"/>
        <v>670</v>
      </c>
      <c r="W74" s="75">
        <f t="shared" si="56"/>
        <v>335</v>
      </c>
      <c r="X74" s="75">
        <f t="shared" si="57"/>
        <v>100.5</v>
      </c>
      <c r="Y74" s="78"/>
      <c r="Z74" s="83">
        <f t="shared" si="126"/>
        <v>20</v>
      </c>
      <c r="AA74" s="84" t="s">
        <v>156</v>
      </c>
      <c r="AB74" s="84">
        <f t="shared" si="59"/>
        <v>0.1</v>
      </c>
      <c r="AC74" s="84">
        <f t="shared" si="127"/>
        <v>20</v>
      </c>
      <c r="AD74" s="37">
        <f t="shared" si="60"/>
        <v>670</v>
      </c>
      <c r="AE74" s="192"/>
      <c r="AF74" s="85">
        <f t="shared" si="61"/>
        <v>0.19</v>
      </c>
      <c r="AG74" s="279"/>
      <c r="AH74" s="85">
        <f t="shared" si="62"/>
        <v>0.8</v>
      </c>
      <c r="AI74" s="81"/>
      <c r="AJ74" s="85">
        <f t="shared" si="63"/>
        <v>1.2</v>
      </c>
      <c r="AK74" s="182">
        <f t="shared" si="124"/>
        <v>23.4</v>
      </c>
      <c r="AL74" s="85">
        <f t="shared" si="64"/>
        <v>0.1</v>
      </c>
      <c r="AM74" s="81"/>
      <c r="AN74" s="85">
        <f t="shared" si="65"/>
        <v>0.18</v>
      </c>
      <c r="AO74" s="38"/>
      <c r="AP74" s="39">
        <f t="shared" si="66"/>
        <v>0.15</v>
      </c>
      <c r="AQ74" s="38"/>
      <c r="AR74" s="40">
        <f t="shared" si="67"/>
        <v>0</v>
      </c>
      <c r="AS74" s="40">
        <f t="shared" si="68"/>
        <v>0</v>
      </c>
      <c r="AT74" s="40">
        <f t="shared" si="69"/>
        <v>0</v>
      </c>
      <c r="AU74" s="40">
        <f t="shared" si="70"/>
        <v>98.28</v>
      </c>
      <c r="AV74" s="40">
        <f t="shared" si="71"/>
        <v>0</v>
      </c>
      <c r="AW74" s="40">
        <f t="shared" si="72"/>
        <v>0</v>
      </c>
      <c r="AX74" s="75">
        <f t="shared" si="73"/>
        <v>98.28</v>
      </c>
      <c r="AY74" s="75">
        <f t="shared" si="74"/>
        <v>183.584740248</v>
      </c>
      <c r="AZ74" s="86">
        <f t="shared" si="75"/>
        <v>0</v>
      </c>
      <c r="BA74" s="143">
        <f t="shared" si="76"/>
        <v>281.86474024799998</v>
      </c>
      <c r="BB74" s="144">
        <f t="shared" si="77"/>
        <v>56.372948049599998</v>
      </c>
      <c r="BC74" s="143">
        <f t="shared" si="78"/>
        <v>338.23768829759996</v>
      </c>
      <c r="BD74" s="87">
        <f>F74*50</f>
        <v>1170</v>
      </c>
      <c r="BE74" s="143">
        <f t="shared" si="79"/>
        <v>50</v>
      </c>
      <c r="BF74" s="88"/>
      <c r="BG74" s="89">
        <f t="shared" si="80"/>
        <v>0</v>
      </c>
      <c r="BH74" s="89">
        <f t="shared" si="81"/>
        <v>187.2</v>
      </c>
      <c r="BI74" s="89">
        <f t="shared" si="82"/>
        <v>700</v>
      </c>
      <c r="BJ74" s="90">
        <f t="shared" si="83"/>
        <v>0.85</v>
      </c>
      <c r="BK74" s="89">
        <f t="shared" si="84"/>
        <v>0</v>
      </c>
      <c r="BL74" s="109"/>
      <c r="BM74" s="110">
        <f t="shared" si="85"/>
        <v>187.2</v>
      </c>
      <c r="BN74" s="45">
        <f t="shared" si="86"/>
        <v>18</v>
      </c>
      <c r="BO74" s="45">
        <f t="shared" si="87"/>
        <v>26</v>
      </c>
      <c r="BP74" s="89">
        <f t="shared" si="88"/>
        <v>1875.9999999999998</v>
      </c>
      <c r="BQ74" s="91"/>
      <c r="BR74" s="41">
        <f t="shared" si="89"/>
        <v>1875.9999999999998</v>
      </c>
      <c r="BS74" s="110">
        <f t="shared" si="90"/>
        <v>-1688.7999999999997</v>
      </c>
      <c r="BT74" s="110" t="str">
        <f t="shared" si="91"/>
        <v/>
      </c>
    </row>
    <row r="75" spans="2:72" s="92" customFormat="1" x14ac:dyDescent="0.2">
      <c r="B75" s="190" t="s">
        <v>228</v>
      </c>
      <c r="C75" s="184" t="s">
        <v>121</v>
      </c>
      <c r="D75" s="174"/>
      <c r="E75" s="93" t="s">
        <v>153</v>
      </c>
      <c r="F75" s="185">
        <v>13.7</v>
      </c>
      <c r="G75" s="186">
        <v>7</v>
      </c>
      <c r="H75" s="82"/>
      <c r="I75" s="74">
        <f t="shared" si="128"/>
        <v>7.2</v>
      </c>
      <c r="J75" s="147"/>
      <c r="K75" s="75">
        <f t="shared" si="50"/>
        <v>98.64</v>
      </c>
      <c r="L75" s="75">
        <f t="shared" si="51"/>
        <v>0</v>
      </c>
      <c r="M75" s="75">
        <f t="shared" si="52"/>
        <v>98.64</v>
      </c>
      <c r="N75" s="172" t="e">
        <f t="shared" si="53"/>
        <v>#DIV/0!</v>
      </c>
      <c r="O75" s="178"/>
      <c r="P75" s="179">
        <v>560</v>
      </c>
      <c r="Q75" s="177"/>
      <c r="R75" s="75">
        <f t="shared" si="54"/>
        <v>0</v>
      </c>
      <c r="S75" s="94" t="s">
        <v>239</v>
      </c>
      <c r="T75" s="180" t="s">
        <v>154</v>
      </c>
      <c r="U75" s="95"/>
      <c r="V75" s="75">
        <f t="shared" si="55"/>
        <v>0</v>
      </c>
      <c r="W75" s="75">
        <f t="shared" si="56"/>
        <v>0</v>
      </c>
      <c r="X75" s="75">
        <f t="shared" si="57"/>
        <v>0</v>
      </c>
      <c r="Y75" s="78"/>
      <c r="Z75" s="83">
        <f t="shared" si="126"/>
        <v>20</v>
      </c>
      <c r="AA75" s="84" t="s">
        <v>156</v>
      </c>
      <c r="AB75" s="84">
        <f t="shared" si="59"/>
        <v>0.1</v>
      </c>
      <c r="AC75" s="84">
        <f t="shared" si="127"/>
        <v>20</v>
      </c>
      <c r="AD75" s="37">
        <f t="shared" si="60"/>
        <v>0</v>
      </c>
      <c r="AE75" s="192">
        <v>2</v>
      </c>
      <c r="AF75" s="85">
        <f t="shared" si="61"/>
        <v>0.19</v>
      </c>
      <c r="AG75" s="279"/>
      <c r="AH75" s="85">
        <f t="shared" si="62"/>
        <v>0.8</v>
      </c>
      <c r="AI75" s="81"/>
      <c r="AJ75" s="85">
        <f t="shared" si="63"/>
        <v>1.2</v>
      </c>
      <c r="AK75" s="182">
        <f t="shared" si="124"/>
        <v>13.7</v>
      </c>
      <c r="AL75" s="85">
        <f t="shared" si="64"/>
        <v>0.1</v>
      </c>
      <c r="AM75" s="81"/>
      <c r="AN75" s="85">
        <f t="shared" si="65"/>
        <v>0.18</v>
      </c>
      <c r="AO75" s="38"/>
      <c r="AP75" s="39">
        <f t="shared" si="66"/>
        <v>0.15</v>
      </c>
      <c r="AQ75" s="38"/>
      <c r="AR75" s="40">
        <f t="shared" si="67"/>
        <v>86.982000000000014</v>
      </c>
      <c r="AS75" s="40">
        <f t="shared" si="68"/>
        <v>0</v>
      </c>
      <c r="AT75" s="40">
        <f t="shared" si="69"/>
        <v>0</v>
      </c>
      <c r="AU75" s="40">
        <f t="shared" si="70"/>
        <v>57.540000000000006</v>
      </c>
      <c r="AV75" s="40">
        <f t="shared" si="71"/>
        <v>0</v>
      </c>
      <c r="AW75" s="40">
        <f t="shared" si="72"/>
        <v>0</v>
      </c>
      <c r="AX75" s="75">
        <f t="shared" si="73"/>
        <v>144.52200000000002</v>
      </c>
      <c r="AY75" s="75">
        <f t="shared" si="74"/>
        <v>107.483373564</v>
      </c>
      <c r="AZ75" s="86">
        <f t="shared" si="75"/>
        <v>0</v>
      </c>
      <c r="BA75" s="143">
        <f t="shared" si="76"/>
        <v>252.00537356400002</v>
      </c>
      <c r="BB75" s="144">
        <f t="shared" si="77"/>
        <v>50.401074712800011</v>
      </c>
      <c r="BC75" s="143">
        <f t="shared" si="78"/>
        <v>302.40644827680001</v>
      </c>
      <c r="BD75" s="87">
        <f>F75*80</f>
        <v>1096</v>
      </c>
      <c r="BE75" s="143">
        <f t="shared" si="79"/>
        <v>80</v>
      </c>
      <c r="BF75" s="88"/>
      <c r="BG75" s="89">
        <f t="shared" si="80"/>
        <v>560</v>
      </c>
      <c r="BH75" s="89">
        <f t="shared" si="81"/>
        <v>109.6</v>
      </c>
      <c r="BI75" s="89">
        <f t="shared" si="82"/>
        <v>700</v>
      </c>
      <c r="BJ75" s="90">
        <f t="shared" si="83"/>
        <v>0.85</v>
      </c>
      <c r="BK75" s="89">
        <f t="shared" si="84"/>
        <v>0</v>
      </c>
      <c r="BL75" s="109"/>
      <c r="BM75" s="110">
        <f t="shared" si="85"/>
        <v>669.6</v>
      </c>
      <c r="BN75" s="45">
        <f t="shared" si="86"/>
        <v>18</v>
      </c>
      <c r="BO75" s="45">
        <f t="shared" si="87"/>
        <v>26</v>
      </c>
      <c r="BP75" s="89">
        <f t="shared" si="88"/>
        <v>0</v>
      </c>
      <c r="BQ75" s="91"/>
      <c r="BR75" s="41">
        <f t="shared" si="89"/>
        <v>0</v>
      </c>
      <c r="BS75" s="110">
        <f t="shared" si="90"/>
        <v>669.6</v>
      </c>
      <c r="BT75" s="110">
        <f t="shared" si="91"/>
        <v>239.14285714285717</v>
      </c>
    </row>
    <row r="76" spans="2:72" s="92" customFormat="1" x14ac:dyDescent="0.2">
      <c r="B76" s="190" t="s">
        <v>225</v>
      </c>
      <c r="C76" s="184" t="s">
        <v>123</v>
      </c>
      <c r="D76" s="174"/>
      <c r="E76" s="93" t="s">
        <v>153</v>
      </c>
      <c r="F76" s="185">
        <v>6.7</v>
      </c>
      <c r="G76" s="186"/>
      <c r="H76" s="82"/>
      <c r="I76" s="74">
        <f t="shared" si="128"/>
        <v>7.2</v>
      </c>
      <c r="J76" s="147"/>
      <c r="K76" s="75">
        <f t="shared" ref="K76:K83" si="129">IF(F76="","",SUM(F76*I76))</f>
        <v>48.24</v>
      </c>
      <c r="L76" s="75" t="str">
        <f t="shared" ref="L76:L83" si="130">IF(G76="","",SUM(G76*J76))</f>
        <v/>
      </c>
      <c r="M76" s="75">
        <f t="shared" ref="M76:M83" si="131">SUM(K76:L76)</f>
        <v>48.24</v>
      </c>
      <c r="N76" s="172" t="e">
        <f t="shared" ref="N76:N83" si="132">(O76-M76)/O76</f>
        <v>#DIV/0!</v>
      </c>
      <c r="O76" s="178"/>
      <c r="P76" s="179">
        <v>110</v>
      </c>
      <c r="Q76" s="177"/>
      <c r="R76" s="75">
        <f t="shared" ref="R76:R83" si="133">IF(F76="","",SUM(O76/F76))</f>
        <v>0</v>
      </c>
      <c r="S76" s="94" t="s">
        <v>239</v>
      </c>
      <c r="T76" s="180"/>
      <c r="U76" s="95"/>
      <c r="V76" s="75">
        <f t="shared" ref="V76:V83" si="134">IF(T76="x",O76,0)</f>
        <v>0</v>
      </c>
      <c r="W76" s="75">
        <f t="shared" ref="W76:W83" si="135">V76*$W$8</f>
        <v>0</v>
      </c>
      <c r="X76" s="75">
        <f t="shared" ref="X76:X83" si="136">V76*$X$8</f>
        <v>0</v>
      </c>
      <c r="Y76" s="78"/>
      <c r="Z76" s="83">
        <f t="shared" si="126"/>
        <v>20</v>
      </c>
      <c r="AA76" s="84" t="s">
        <v>156</v>
      </c>
      <c r="AB76" s="84">
        <f t="shared" ref="AB76:AB83" si="137">n</f>
        <v>0.1</v>
      </c>
      <c r="AC76" s="84">
        <f t="shared" si="127"/>
        <v>20</v>
      </c>
      <c r="AD76" s="37">
        <f t="shared" ref="AD76:AD83" si="138">O76</f>
        <v>0</v>
      </c>
      <c r="AE76" s="192">
        <v>2.2000000000000002</v>
      </c>
      <c r="AF76" s="85">
        <f t="shared" ref="AF76:AF83" si="139">U_1</f>
        <v>0.19</v>
      </c>
      <c r="AG76" s="279"/>
      <c r="AH76" s="85">
        <f t="shared" ref="AH76:AH83" si="140">U_2</f>
        <v>0.8</v>
      </c>
      <c r="AI76" s="81"/>
      <c r="AJ76" s="85">
        <f t="shared" ref="AJ76:AJ83" si="141">U_3</f>
        <v>1.2</v>
      </c>
      <c r="AK76" s="182">
        <f t="shared" si="124"/>
        <v>6.7</v>
      </c>
      <c r="AL76" s="85">
        <f t="shared" ref="AL76:AL83" si="142">U_4</f>
        <v>0.1</v>
      </c>
      <c r="AM76" s="81"/>
      <c r="AN76" s="85">
        <f t="shared" ref="AN76:AN83" si="143">U_5</f>
        <v>0.18</v>
      </c>
      <c r="AO76" s="38"/>
      <c r="AP76" s="39">
        <f t="shared" ref="AP76:AP83" si="144">U_6</f>
        <v>0.15</v>
      </c>
      <c r="AQ76" s="38"/>
      <c r="AR76" s="40">
        <f t="shared" ref="AR76:AR83" si="145">MAX(0,(AF76*(AE76*AA76-AG76-AI76))*(Z76-DUT))</f>
        <v>95.680200000000013</v>
      </c>
      <c r="AS76" s="40">
        <f t="shared" ref="AS76:AS83" si="146">AH76*AG76*(Z76-DUT)</f>
        <v>0</v>
      </c>
      <c r="AT76" s="40">
        <f t="shared" ref="AT76:AT83" si="147">AJ76*AI76*(Z76-DUT)</f>
        <v>0</v>
      </c>
      <c r="AU76" s="40">
        <f t="shared" ref="AU76:AU83" si="148">AL76*AK76*(Z76-DUT)</f>
        <v>28.14</v>
      </c>
      <c r="AV76" s="40">
        <f t="shared" ref="AV76:AV83" si="149">AN76*AM76*(Z76-DUT)</f>
        <v>0</v>
      </c>
      <c r="AW76" s="40">
        <f t="shared" ref="AW76:AW83" si="150">AP76*AO76*(Z76-AQ76)</f>
        <v>0</v>
      </c>
      <c r="AX76" s="75">
        <f t="shared" ref="AX76:AX83" si="151">SUM(AR76:AW76)</f>
        <v>123.82020000000001</v>
      </c>
      <c r="AY76" s="75">
        <f t="shared" ref="AY76:AY83" si="152">(F76*AA76)*(AB76/3600)*(-0.0045*(Z76+273)+2.5426)*1008*(Z76-DUT)</f>
        <v>52.564861524000008</v>
      </c>
      <c r="AZ76" s="86">
        <f t="shared" ref="AZ76:AZ83" si="153">IF(AC76=DUT,-(ABS(AD76)/3600)*(-0.0045*(Z76+273)+2.5426)*1008*(AC76-Z76),-(ABS(AD76)/3600)*(-0.0045*(((AC76+Z76)/2)+273)+2.5426)*1008*(AC76-Z76))</f>
        <v>0</v>
      </c>
      <c r="BA76" s="143">
        <f t="shared" ref="BA76:BA83" si="154">SUM(AX76:AZ76)</f>
        <v>176.38506152400004</v>
      </c>
      <c r="BB76" s="144">
        <f t="shared" ref="BB76:BB83" si="155">ABS(BA76*(sikkerhetstill/100))</f>
        <v>35.27701230480001</v>
      </c>
      <c r="BC76" s="143">
        <f t="shared" ref="BC76:BC83" si="156">MAX(0,AX76+AY76+AZ76+BB76)</f>
        <v>211.66207382880003</v>
      </c>
      <c r="BD76" s="87">
        <v>165</v>
      </c>
      <c r="BE76" s="143">
        <f t="shared" ref="BE76:BE83" si="157">IF(F76=0,0,IF(F76="","",BD76/F76))</f>
        <v>24.626865671641792</v>
      </c>
      <c r="BF76" s="88"/>
      <c r="BG76" s="89">
        <f t="shared" ref="BG76:BG83" si="158">G76*$BG$6</f>
        <v>0</v>
      </c>
      <c r="BH76" s="89">
        <f t="shared" ref="BH76:BH83" si="159">F76*$BH$6</f>
        <v>53.6</v>
      </c>
      <c r="BI76" s="89">
        <f t="shared" ref="BI76:BI83" si="160">$BI$6</f>
        <v>700</v>
      </c>
      <c r="BJ76" s="90">
        <f t="shared" ref="BJ76:BJ83" si="161">$BJ$6</f>
        <v>0.85</v>
      </c>
      <c r="BK76" s="89">
        <f t="shared" ref="BK76:BK83" si="162">AG76*BI76*(1-BJ76)</f>
        <v>0</v>
      </c>
      <c r="BL76" s="109"/>
      <c r="BM76" s="110">
        <f t="shared" ref="BM76:BM83" si="163">BG76+BH76+BK76+BL76</f>
        <v>53.6</v>
      </c>
      <c r="BN76" s="45">
        <f t="shared" ref="BN76:BN83" si="164">$BN$6</f>
        <v>18</v>
      </c>
      <c r="BO76" s="45">
        <f t="shared" ref="BO76:BO83" si="165">$BO$6</f>
        <v>26</v>
      </c>
      <c r="BP76" s="89">
        <f t="shared" ref="BP76:BP83" si="166">O76*0.35*(BO76-BN76)</f>
        <v>0</v>
      </c>
      <c r="BQ76" s="91"/>
      <c r="BR76" s="41">
        <f t="shared" ref="BR76:BR83" si="167">SUM(BP76:BQ76)</f>
        <v>0</v>
      </c>
      <c r="BS76" s="110">
        <f t="shared" ref="BS76:BS83" si="168">BM76-BR76</f>
        <v>53.6</v>
      </c>
      <c r="BT76" s="110">
        <f t="shared" ref="BT76:BT83" si="169">IF(BS76&gt;0,BS76/(0.35*(BO76-BN76)),"")</f>
        <v>19.142857142857146</v>
      </c>
    </row>
    <row r="77" spans="2:72" s="92" customFormat="1" x14ac:dyDescent="0.2">
      <c r="B77" s="190" t="s">
        <v>226</v>
      </c>
      <c r="C77" s="184" t="s">
        <v>148</v>
      </c>
      <c r="D77" s="174"/>
      <c r="E77" s="93" t="s">
        <v>153</v>
      </c>
      <c r="F77" s="185">
        <v>9.6</v>
      </c>
      <c r="G77" s="186">
        <v>1</v>
      </c>
      <c r="H77" s="82"/>
      <c r="I77" s="74">
        <v>15</v>
      </c>
      <c r="J77" s="147"/>
      <c r="K77" s="75">
        <f t="shared" si="129"/>
        <v>144</v>
      </c>
      <c r="L77" s="75">
        <f t="shared" si="130"/>
        <v>0</v>
      </c>
      <c r="M77" s="75">
        <f t="shared" si="131"/>
        <v>144</v>
      </c>
      <c r="N77" s="172" t="e">
        <f t="shared" si="132"/>
        <v>#DIV/0!</v>
      </c>
      <c r="O77" s="178"/>
      <c r="P77" s="179">
        <v>110</v>
      </c>
      <c r="Q77" s="177"/>
      <c r="R77" s="75">
        <f t="shared" si="133"/>
        <v>0</v>
      </c>
      <c r="S77" s="94" t="s">
        <v>239</v>
      </c>
      <c r="T77" s="180" t="s">
        <v>154</v>
      </c>
      <c r="U77" s="95"/>
      <c r="V77" s="75">
        <f t="shared" si="134"/>
        <v>0</v>
      </c>
      <c r="W77" s="75">
        <f t="shared" si="135"/>
        <v>0</v>
      </c>
      <c r="X77" s="75">
        <f t="shared" si="136"/>
        <v>0</v>
      </c>
      <c r="Y77" s="78"/>
      <c r="Z77" s="83">
        <f t="shared" si="126"/>
        <v>20</v>
      </c>
      <c r="AA77" s="84" t="s">
        <v>156</v>
      </c>
      <c r="AB77" s="84">
        <f t="shared" si="137"/>
        <v>0.1</v>
      </c>
      <c r="AC77" s="84">
        <f t="shared" si="127"/>
        <v>20</v>
      </c>
      <c r="AD77" s="37">
        <f t="shared" si="138"/>
        <v>0</v>
      </c>
      <c r="AE77" s="192">
        <v>4</v>
      </c>
      <c r="AF77" s="85">
        <f t="shared" si="139"/>
        <v>0.19</v>
      </c>
      <c r="AG77" s="279"/>
      <c r="AH77" s="85">
        <f t="shared" si="140"/>
        <v>0.8</v>
      </c>
      <c r="AI77" s="81"/>
      <c r="AJ77" s="85">
        <f t="shared" si="141"/>
        <v>1.2</v>
      </c>
      <c r="AK77" s="182">
        <f t="shared" si="124"/>
        <v>9.6</v>
      </c>
      <c r="AL77" s="85">
        <f t="shared" si="142"/>
        <v>0.1</v>
      </c>
      <c r="AM77" s="81"/>
      <c r="AN77" s="85">
        <f t="shared" si="143"/>
        <v>0.18</v>
      </c>
      <c r="AO77" s="38"/>
      <c r="AP77" s="39">
        <f t="shared" si="144"/>
        <v>0.15</v>
      </c>
      <c r="AQ77" s="38"/>
      <c r="AR77" s="40">
        <f t="shared" si="145"/>
        <v>173.96400000000003</v>
      </c>
      <c r="AS77" s="40">
        <f t="shared" si="146"/>
        <v>0</v>
      </c>
      <c r="AT77" s="40">
        <f t="shared" si="147"/>
        <v>0</v>
      </c>
      <c r="AU77" s="40">
        <f t="shared" si="148"/>
        <v>40.32</v>
      </c>
      <c r="AV77" s="40">
        <f t="shared" si="149"/>
        <v>0</v>
      </c>
      <c r="AW77" s="40">
        <f t="shared" si="150"/>
        <v>0</v>
      </c>
      <c r="AX77" s="75">
        <f t="shared" si="151"/>
        <v>214.28400000000002</v>
      </c>
      <c r="AY77" s="75">
        <f t="shared" si="152"/>
        <v>75.316816512000017</v>
      </c>
      <c r="AZ77" s="86">
        <f t="shared" si="153"/>
        <v>0</v>
      </c>
      <c r="BA77" s="143">
        <f t="shared" si="154"/>
        <v>289.60081651200005</v>
      </c>
      <c r="BB77" s="144">
        <f t="shared" si="155"/>
        <v>57.920163302400013</v>
      </c>
      <c r="BC77" s="143">
        <f t="shared" si="156"/>
        <v>347.52097981440005</v>
      </c>
      <c r="BD77" s="87">
        <f>F77*50</f>
        <v>480</v>
      </c>
      <c r="BE77" s="143">
        <f t="shared" si="157"/>
        <v>50</v>
      </c>
      <c r="BF77" s="88"/>
      <c r="BG77" s="89">
        <f t="shared" si="158"/>
        <v>80</v>
      </c>
      <c r="BH77" s="89">
        <f t="shared" si="159"/>
        <v>76.8</v>
      </c>
      <c r="BI77" s="89">
        <f t="shared" si="160"/>
        <v>700</v>
      </c>
      <c r="BJ77" s="90">
        <f t="shared" si="161"/>
        <v>0.85</v>
      </c>
      <c r="BK77" s="89">
        <f t="shared" si="162"/>
        <v>0</v>
      </c>
      <c r="BL77" s="109"/>
      <c r="BM77" s="110">
        <f t="shared" si="163"/>
        <v>156.80000000000001</v>
      </c>
      <c r="BN77" s="45">
        <f t="shared" si="164"/>
        <v>18</v>
      </c>
      <c r="BO77" s="45">
        <f t="shared" si="165"/>
        <v>26</v>
      </c>
      <c r="BP77" s="89">
        <f t="shared" si="166"/>
        <v>0</v>
      </c>
      <c r="BQ77" s="91"/>
      <c r="BR77" s="41">
        <f t="shared" si="167"/>
        <v>0</v>
      </c>
      <c r="BS77" s="110">
        <f t="shared" si="168"/>
        <v>156.80000000000001</v>
      </c>
      <c r="BT77" s="110">
        <f t="shared" si="169"/>
        <v>56.000000000000007</v>
      </c>
    </row>
    <row r="78" spans="2:72" s="92" customFormat="1" x14ac:dyDescent="0.2">
      <c r="B78" s="190" t="s">
        <v>255</v>
      </c>
      <c r="C78" s="184" t="s">
        <v>136</v>
      </c>
      <c r="D78" s="174"/>
      <c r="E78" s="93" t="s">
        <v>153</v>
      </c>
      <c r="F78" s="185">
        <v>39.700000000000003</v>
      </c>
      <c r="G78" s="186"/>
      <c r="H78" s="82"/>
      <c r="I78" s="74">
        <v>3.6</v>
      </c>
      <c r="J78" s="147"/>
      <c r="K78" s="75">
        <f t="shared" si="129"/>
        <v>142.92000000000002</v>
      </c>
      <c r="L78" s="75"/>
      <c r="M78" s="75">
        <f t="shared" si="131"/>
        <v>142.92000000000002</v>
      </c>
      <c r="N78" s="172">
        <f t="shared" si="132"/>
        <v>4.7199999999999895E-2</v>
      </c>
      <c r="O78" s="178">
        <v>150</v>
      </c>
      <c r="P78" s="179">
        <v>150</v>
      </c>
      <c r="Q78" s="177"/>
      <c r="R78" s="75">
        <f t="shared" si="133"/>
        <v>3.7783375314861458</v>
      </c>
      <c r="S78" s="94"/>
      <c r="T78" s="180"/>
      <c r="U78" s="95"/>
      <c r="V78" s="75"/>
      <c r="W78" s="75"/>
      <c r="X78" s="75"/>
      <c r="Y78" s="78"/>
      <c r="Z78" s="83"/>
      <c r="AA78" s="84"/>
      <c r="AB78" s="84"/>
      <c r="AC78" s="84"/>
      <c r="AD78" s="37"/>
      <c r="AE78" s="192"/>
      <c r="AF78" s="85"/>
      <c r="AG78" s="279">
        <v>4.6500000000000004</v>
      </c>
      <c r="AH78" s="85"/>
      <c r="AI78" s="81"/>
      <c r="AJ78" s="85"/>
      <c r="AK78" s="182">
        <f t="shared" si="124"/>
        <v>39.700000000000003</v>
      </c>
      <c r="AL78" s="85"/>
      <c r="AM78" s="81"/>
      <c r="AN78" s="85"/>
      <c r="AO78" s="38"/>
      <c r="AP78" s="39"/>
      <c r="AQ78" s="38"/>
      <c r="AR78" s="40"/>
      <c r="AS78" s="40"/>
      <c r="AT78" s="40"/>
      <c r="AU78" s="40"/>
      <c r="AV78" s="40"/>
      <c r="AW78" s="40"/>
      <c r="AX78" s="75"/>
      <c r="AY78" s="75"/>
      <c r="AZ78" s="86"/>
      <c r="BA78" s="143"/>
      <c r="BB78" s="144"/>
      <c r="BC78" s="143"/>
      <c r="BD78" s="87"/>
      <c r="BE78" s="143"/>
      <c r="BF78" s="88"/>
      <c r="BG78" s="89"/>
      <c r="BH78" s="89">
        <f t="shared" si="159"/>
        <v>317.60000000000002</v>
      </c>
      <c r="BI78" s="89"/>
      <c r="BJ78" s="90"/>
      <c r="BK78" s="89"/>
      <c r="BL78" s="109"/>
      <c r="BM78" s="110"/>
      <c r="BN78" s="45"/>
      <c r="BO78" s="45"/>
      <c r="BP78" s="89"/>
      <c r="BQ78" s="91"/>
      <c r="BR78" s="41"/>
      <c r="BS78" s="110"/>
      <c r="BT78" s="110"/>
    </row>
    <row r="79" spans="2:72" s="92" customFormat="1" x14ac:dyDescent="0.2">
      <c r="B79" s="190" t="s">
        <v>231</v>
      </c>
      <c r="C79" s="184" t="s">
        <v>131</v>
      </c>
      <c r="D79" s="174"/>
      <c r="E79" s="93" t="s">
        <v>153</v>
      </c>
      <c r="F79" s="185">
        <v>24.2</v>
      </c>
      <c r="G79" s="186"/>
      <c r="H79" s="82"/>
      <c r="I79" s="74">
        <v>3.6</v>
      </c>
      <c r="J79" s="147"/>
      <c r="K79" s="75">
        <f t="shared" si="129"/>
        <v>87.12</v>
      </c>
      <c r="L79" s="75" t="str">
        <f t="shared" si="130"/>
        <v/>
      </c>
      <c r="M79" s="75">
        <f t="shared" si="131"/>
        <v>87.12</v>
      </c>
      <c r="N79" s="172" t="e">
        <f t="shared" si="132"/>
        <v>#DIV/0!</v>
      </c>
      <c r="O79" s="178"/>
      <c r="P79" s="179">
        <v>200</v>
      </c>
      <c r="Q79" s="177"/>
      <c r="R79" s="75">
        <f t="shared" si="133"/>
        <v>0</v>
      </c>
      <c r="S79" s="94" t="s">
        <v>239</v>
      </c>
      <c r="T79" s="180"/>
      <c r="U79" s="95"/>
      <c r="V79" s="75">
        <f t="shared" si="134"/>
        <v>0</v>
      </c>
      <c r="W79" s="75">
        <f t="shared" si="135"/>
        <v>0</v>
      </c>
      <c r="X79" s="75">
        <f t="shared" si="136"/>
        <v>0</v>
      </c>
      <c r="Y79" s="78"/>
      <c r="Z79" s="83">
        <f t="shared" si="126"/>
        <v>20</v>
      </c>
      <c r="AA79" s="84" t="s">
        <v>156</v>
      </c>
      <c r="AB79" s="84">
        <f t="shared" si="137"/>
        <v>0.1</v>
      </c>
      <c r="AC79" s="84">
        <f t="shared" si="127"/>
        <v>20</v>
      </c>
      <c r="AD79" s="37">
        <f t="shared" si="138"/>
        <v>0</v>
      </c>
      <c r="AE79" s="192"/>
      <c r="AF79" s="85">
        <f t="shared" si="139"/>
        <v>0.19</v>
      </c>
      <c r="AG79" s="279"/>
      <c r="AH79" s="85">
        <f t="shared" si="140"/>
        <v>0.8</v>
      </c>
      <c r="AI79" s="81"/>
      <c r="AJ79" s="85">
        <f t="shared" si="141"/>
        <v>1.2</v>
      </c>
      <c r="AK79" s="182">
        <f t="shared" si="124"/>
        <v>24.2</v>
      </c>
      <c r="AL79" s="85">
        <f t="shared" si="142"/>
        <v>0.1</v>
      </c>
      <c r="AM79" s="81"/>
      <c r="AN79" s="85">
        <f t="shared" si="143"/>
        <v>0.18</v>
      </c>
      <c r="AO79" s="38"/>
      <c r="AP79" s="39">
        <f t="shared" si="144"/>
        <v>0.15</v>
      </c>
      <c r="AQ79" s="38"/>
      <c r="AR79" s="40">
        <f t="shared" si="145"/>
        <v>0</v>
      </c>
      <c r="AS79" s="40">
        <f t="shared" si="146"/>
        <v>0</v>
      </c>
      <c r="AT79" s="40">
        <f t="shared" si="147"/>
        <v>0</v>
      </c>
      <c r="AU79" s="40">
        <f t="shared" si="148"/>
        <v>101.64</v>
      </c>
      <c r="AV79" s="40">
        <f t="shared" si="149"/>
        <v>0</v>
      </c>
      <c r="AW79" s="40">
        <f t="shared" si="150"/>
        <v>0</v>
      </c>
      <c r="AX79" s="75">
        <f t="shared" si="151"/>
        <v>101.64</v>
      </c>
      <c r="AY79" s="75">
        <f t="shared" si="152"/>
        <v>189.86114162400003</v>
      </c>
      <c r="AZ79" s="86">
        <f t="shared" si="153"/>
        <v>0</v>
      </c>
      <c r="BA79" s="143">
        <f t="shared" si="154"/>
        <v>291.50114162400001</v>
      </c>
      <c r="BB79" s="144">
        <f t="shared" si="155"/>
        <v>58.300228324800003</v>
      </c>
      <c r="BC79" s="143">
        <f t="shared" si="156"/>
        <v>349.80136994880002</v>
      </c>
      <c r="BD79" s="87">
        <v>740</v>
      </c>
      <c r="BE79" s="143">
        <f t="shared" si="157"/>
        <v>30.578512396694215</v>
      </c>
      <c r="BF79" s="88"/>
      <c r="BG79" s="89">
        <f t="shared" si="158"/>
        <v>0</v>
      </c>
      <c r="BH79" s="89">
        <f t="shared" si="159"/>
        <v>193.6</v>
      </c>
      <c r="BI79" s="89">
        <f t="shared" si="160"/>
        <v>700</v>
      </c>
      <c r="BJ79" s="90">
        <f t="shared" si="161"/>
        <v>0.85</v>
      </c>
      <c r="BK79" s="89">
        <f t="shared" si="162"/>
        <v>0</v>
      </c>
      <c r="BL79" s="109"/>
      <c r="BM79" s="110">
        <f t="shared" si="163"/>
        <v>193.6</v>
      </c>
      <c r="BN79" s="45">
        <f t="shared" si="164"/>
        <v>18</v>
      </c>
      <c r="BO79" s="45">
        <f t="shared" si="165"/>
        <v>26</v>
      </c>
      <c r="BP79" s="89">
        <f t="shared" si="166"/>
        <v>0</v>
      </c>
      <c r="BQ79" s="91"/>
      <c r="BR79" s="41">
        <f t="shared" si="167"/>
        <v>0</v>
      </c>
      <c r="BS79" s="110">
        <f t="shared" si="168"/>
        <v>193.6</v>
      </c>
      <c r="BT79" s="110">
        <f t="shared" si="169"/>
        <v>69.142857142857139</v>
      </c>
    </row>
    <row r="80" spans="2:72" s="92" customFormat="1" x14ac:dyDescent="0.2">
      <c r="B80" s="190" t="s">
        <v>232</v>
      </c>
      <c r="C80" s="237" t="s">
        <v>172</v>
      </c>
      <c r="D80" s="174"/>
      <c r="E80" s="93" t="s">
        <v>153</v>
      </c>
      <c r="F80" s="185">
        <v>30.5</v>
      </c>
      <c r="G80" s="81">
        <v>16</v>
      </c>
      <c r="H80" s="82"/>
      <c r="I80" s="74">
        <f>$I$7</f>
        <v>7.2</v>
      </c>
      <c r="J80" s="147">
        <f>$J$7</f>
        <v>26</v>
      </c>
      <c r="K80" s="75">
        <f t="shared" si="129"/>
        <v>219.6</v>
      </c>
      <c r="L80" s="75">
        <f t="shared" si="130"/>
        <v>416</v>
      </c>
      <c r="M80" s="75">
        <f t="shared" si="131"/>
        <v>635.6</v>
      </c>
      <c r="N80" s="172">
        <f t="shared" si="132"/>
        <v>6.8749999999999645E-3</v>
      </c>
      <c r="O80" s="178">
        <v>640</v>
      </c>
      <c r="P80" s="179">
        <v>640</v>
      </c>
      <c r="Q80" s="76"/>
      <c r="R80" s="75">
        <f t="shared" si="133"/>
        <v>20.983606557377048</v>
      </c>
      <c r="S80" s="94" t="s">
        <v>239</v>
      </c>
      <c r="T80" s="95" t="s">
        <v>173</v>
      </c>
      <c r="U80" s="95"/>
      <c r="V80" s="75">
        <f t="shared" si="134"/>
        <v>640</v>
      </c>
      <c r="W80" s="75">
        <f t="shared" si="135"/>
        <v>320</v>
      </c>
      <c r="X80" s="75">
        <f t="shared" si="136"/>
        <v>96</v>
      </c>
      <c r="Y80" s="78"/>
      <c r="Z80" s="83">
        <f t="shared" si="126"/>
        <v>20</v>
      </c>
      <c r="AA80" s="84" t="s">
        <v>242</v>
      </c>
      <c r="AB80" s="84">
        <f t="shared" si="137"/>
        <v>0.1</v>
      </c>
      <c r="AC80" s="84">
        <f t="shared" si="127"/>
        <v>20</v>
      </c>
      <c r="AD80" s="37">
        <f t="shared" si="138"/>
        <v>640</v>
      </c>
      <c r="AE80" s="181"/>
      <c r="AF80" s="85">
        <f t="shared" si="139"/>
        <v>0.19</v>
      </c>
      <c r="AG80" s="279"/>
      <c r="AH80" s="85">
        <f t="shared" si="140"/>
        <v>0.8</v>
      </c>
      <c r="AI80" s="81"/>
      <c r="AJ80" s="85">
        <f t="shared" si="141"/>
        <v>1.2</v>
      </c>
      <c r="AK80" s="182">
        <f t="shared" si="124"/>
        <v>30.5</v>
      </c>
      <c r="AL80" s="85">
        <f t="shared" si="142"/>
        <v>0.1</v>
      </c>
      <c r="AM80" s="81"/>
      <c r="AN80" s="85">
        <f t="shared" si="143"/>
        <v>0.18</v>
      </c>
      <c r="AO80" s="38"/>
      <c r="AP80" s="39">
        <f t="shared" si="144"/>
        <v>0.15</v>
      </c>
      <c r="AQ80" s="38"/>
      <c r="AR80" s="40">
        <f t="shared" si="145"/>
        <v>0</v>
      </c>
      <c r="AS80" s="40">
        <f t="shared" si="146"/>
        <v>0</v>
      </c>
      <c r="AT80" s="40">
        <f t="shared" si="147"/>
        <v>0</v>
      </c>
      <c r="AU80" s="40">
        <f t="shared" si="148"/>
        <v>128.10000000000002</v>
      </c>
      <c r="AV80" s="40">
        <f t="shared" si="149"/>
        <v>0</v>
      </c>
      <c r="AW80" s="40">
        <f t="shared" si="150"/>
        <v>0</v>
      </c>
      <c r="AX80" s="75">
        <f t="shared" si="151"/>
        <v>128.10000000000002</v>
      </c>
      <c r="AY80" s="75">
        <f t="shared" si="152"/>
        <v>239.72686264800001</v>
      </c>
      <c r="AZ80" s="86">
        <f t="shared" si="153"/>
        <v>0</v>
      </c>
      <c r="BA80" s="143">
        <f t="shared" si="154"/>
        <v>367.82686264800003</v>
      </c>
      <c r="BB80" s="144">
        <f t="shared" si="155"/>
        <v>73.565372529600012</v>
      </c>
      <c r="BC80" s="143">
        <f t="shared" si="156"/>
        <v>441.39223517760001</v>
      </c>
      <c r="BD80" s="87">
        <f>F80*30</f>
        <v>915</v>
      </c>
      <c r="BE80" s="143">
        <f t="shared" si="157"/>
        <v>30</v>
      </c>
      <c r="BF80" s="88"/>
      <c r="BG80" s="89">
        <f t="shared" si="158"/>
        <v>1280</v>
      </c>
      <c r="BH80" s="89">
        <f t="shared" si="159"/>
        <v>244</v>
      </c>
      <c r="BI80" s="89">
        <f t="shared" si="160"/>
        <v>700</v>
      </c>
      <c r="BJ80" s="90">
        <f t="shared" si="161"/>
        <v>0.85</v>
      </c>
      <c r="BK80" s="89">
        <f t="shared" si="162"/>
        <v>0</v>
      </c>
      <c r="BL80" s="109"/>
      <c r="BM80" s="110">
        <f t="shared" si="163"/>
        <v>1524</v>
      </c>
      <c r="BN80" s="45">
        <f t="shared" si="164"/>
        <v>18</v>
      </c>
      <c r="BO80" s="45">
        <f t="shared" si="165"/>
        <v>26</v>
      </c>
      <c r="BP80" s="89">
        <f t="shared" si="166"/>
        <v>1792</v>
      </c>
      <c r="BQ80" s="91"/>
      <c r="BR80" s="41">
        <f t="shared" si="167"/>
        <v>1792</v>
      </c>
      <c r="BS80" s="110">
        <f t="shared" si="168"/>
        <v>-268</v>
      </c>
      <c r="BT80" s="110" t="str">
        <f t="shared" si="169"/>
        <v/>
      </c>
    </row>
    <row r="81" spans="1:72" s="92" customFormat="1" x14ac:dyDescent="0.2">
      <c r="B81" s="190" t="s">
        <v>233</v>
      </c>
      <c r="C81" s="238" t="s">
        <v>141</v>
      </c>
      <c r="D81" s="174"/>
      <c r="E81" s="93" t="s">
        <v>153</v>
      </c>
      <c r="F81" s="185">
        <v>95.1</v>
      </c>
      <c r="G81" s="186"/>
      <c r="H81" s="82"/>
      <c r="I81" s="74">
        <f>$I$7</f>
        <v>7.2</v>
      </c>
      <c r="J81" s="147"/>
      <c r="K81" s="75">
        <f t="shared" si="129"/>
        <v>684.72</v>
      </c>
      <c r="L81" s="75" t="str">
        <f t="shared" si="130"/>
        <v/>
      </c>
      <c r="M81" s="75">
        <f t="shared" si="131"/>
        <v>684.72</v>
      </c>
      <c r="N81" s="172" t="e">
        <f t="shared" si="132"/>
        <v>#DIV/0!</v>
      </c>
      <c r="O81" s="178">
        <v>0</v>
      </c>
      <c r="P81" s="179">
        <v>0</v>
      </c>
      <c r="Q81" s="177"/>
      <c r="R81" s="75">
        <f t="shared" si="133"/>
        <v>0</v>
      </c>
      <c r="S81" s="94" t="s">
        <v>238</v>
      </c>
      <c r="T81" s="180" t="s">
        <v>154</v>
      </c>
      <c r="U81" s="95"/>
      <c r="V81" s="75">
        <f t="shared" si="134"/>
        <v>0</v>
      </c>
      <c r="W81" s="75">
        <f t="shared" si="135"/>
        <v>0</v>
      </c>
      <c r="X81" s="75">
        <f t="shared" si="136"/>
        <v>0</v>
      </c>
      <c r="Y81" s="78"/>
      <c r="Z81" s="83">
        <f t="shared" si="126"/>
        <v>20</v>
      </c>
      <c r="AA81" s="84" t="s">
        <v>156</v>
      </c>
      <c r="AB81" s="84">
        <f t="shared" si="137"/>
        <v>0.1</v>
      </c>
      <c r="AC81" s="84">
        <f t="shared" si="127"/>
        <v>20</v>
      </c>
      <c r="AD81" s="37">
        <f t="shared" si="138"/>
        <v>0</v>
      </c>
      <c r="AE81" s="192">
        <v>15.6</v>
      </c>
      <c r="AF81" s="85">
        <f t="shared" si="139"/>
        <v>0.19</v>
      </c>
      <c r="AG81" s="279">
        <v>4.6500000000000004</v>
      </c>
      <c r="AH81" s="85">
        <f t="shared" si="140"/>
        <v>0.8</v>
      </c>
      <c r="AI81" s="81"/>
      <c r="AJ81" s="85">
        <f t="shared" si="141"/>
        <v>1.2</v>
      </c>
      <c r="AK81" s="182">
        <f t="shared" si="124"/>
        <v>95.1</v>
      </c>
      <c r="AL81" s="85">
        <f t="shared" si="142"/>
        <v>0.1</v>
      </c>
      <c r="AM81" s="81"/>
      <c r="AN81" s="85">
        <f t="shared" si="143"/>
        <v>0.18</v>
      </c>
      <c r="AO81" s="38"/>
      <c r="AP81" s="39">
        <f t="shared" si="144"/>
        <v>0.15</v>
      </c>
      <c r="AQ81" s="38"/>
      <c r="AR81" s="40">
        <f t="shared" si="145"/>
        <v>641.35259999999994</v>
      </c>
      <c r="AS81" s="40">
        <f t="shared" si="146"/>
        <v>156.24000000000004</v>
      </c>
      <c r="AT81" s="40">
        <f t="shared" si="147"/>
        <v>0</v>
      </c>
      <c r="AU81" s="40">
        <f t="shared" si="148"/>
        <v>399.42</v>
      </c>
      <c r="AV81" s="40">
        <f t="shared" si="149"/>
        <v>0</v>
      </c>
      <c r="AW81" s="40">
        <f t="shared" si="150"/>
        <v>0</v>
      </c>
      <c r="AX81" s="75">
        <f t="shared" si="151"/>
        <v>1197.0126</v>
      </c>
      <c r="AY81" s="75">
        <f t="shared" si="152"/>
        <v>746.10721357200009</v>
      </c>
      <c r="AZ81" s="86">
        <f t="shared" si="153"/>
        <v>0</v>
      </c>
      <c r="BA81" s="143">
        <f t="shared" si="154"/>
        <v>1943.1198135720001</v>
      </c>
      <c r="BB81" s="144">
        <f t="shared" si="155"/>
        <v>388.62396271440002</v>
      </c>
      <c r="BC81" s="143">
        <f t="shared" si="156"/>
        <v>2331.7437762864001</v>
      </c>
      <c r="BD81" s="87"/>
      <c r="BE81" s="143">
        <f t="shared" si="157"/>
        <v>0</v>
      </c>
      <c r="BF81" s="88"/>
      <c r="BG81" s="89">
        <f t="shared" si="158"/>
        <v>0</v>
      </c>
      <c r="BH81" s="89">
        <f t="shared" si="159"/>
        <v>760.8</v>
      </c>
      <c r="BI81" s="89">
        <f t="shared" si="160"/>
        <v>700</v>
      </c>
      <c r="BJ81" s="90">
        <f t="shared" si="161"/>
        <v>0.85</v>
      </c>
      <c r="BK81" s="89">
        <f t="shared" si="162"/>
        <v>488.25000000000011</v>
      </c>
      <c r="BL81" s="109"/>
      <c r="BM81" s="110">
        <f t="shared" si="163"/>
        <v>1249.0500000000002</v>
      </c>
      <c r="BN81" s="45">
        <f t="shared" si="164"/>
        <v>18</v>
      </c>
      <c r="BO81" s="45">
        <f t="shared" si="165"/>
        <v>26</v>
      </c>
      <c r="BP81" s="89">
        <f t="shared" si="166"/>
        <v>0</v>
      </c>
      <c r="BQ81" s="91"/>
      <c r="BR81" s="41">
        <f t="shared" si="167"/>
        <v>0</v>
      </c>
      <c r="BS81" s="110">
        <f t="shared" si="168"/>
        <v>1249.0500000000002</v>
      </c>
      <c r="BT81" s="110">
        <f t="shared" si="169"/>
        <v>446.08928571428578</v>
      </c>
    </row>
    <row r="82" spans="1:72" s="92" customFormat="1" x14ac:dyDescent="0.2">
      <c r="B82" s="190" t="s">
        <v>234</v>
      </c>
      <c r="C82" s="238" t="s">
        <v>141</v>
      </c>
      <c r="D82" s="174"/>
      <c r="E82" s="93" t="s">
        <v>153</v>
      </c>
      <c r="F82" s="185">
        <v>101.6</v>
      </c>
      <c r="G82" s="186"/>
      <c r="H82" s="82"/>
      <c r="I82" s="74">
        <f>$I$7</f>
        <v>7.2</v>
      </c>
      <c r="J82" s="147"/>
      <c r="K82" s="75">
        <f t="shared" si="129"/>
        <v>731.52</v>
      </c>
      <c r="L82" s="75" t="str">
        <f t="shared" si="130"/>
        <v/>
      </c>
      <c r="M82" s="75">
        <f t="shared" si="131"/>
        <v>731.52</v>
      </c>
      <c r="N82" s="172" t="e">
        <f t="shared" si="132"/>
        <v>#DIV/0!</v>
      </c>
      <c r="O82" s="178">
        <v>0</v>
      </c>
      <c r="P82" s="179">
        <v>0</v>
      </c>
      <c r="Q82" s="177"/>
      <c r="R82" s="75">
        <f t="shared" si="133"/>
        <v>0</v>
      </c>
      <c r="S82" s="94" t="s">
        <v>238</v>
      </c>
      <c r="T82" s="180"/>
      <c r="U82" s="95"/>
      <c r="V82" s="75">
        <f t="shared" si="134"/>
        <v>0</v>
      </c>
      <c r="W82" s="75">
        <f t="shared" si="135"/>
        <v>0</v>
      </c>
      <c r="X82" s="75">
        <f t="shared" si="136"/>
        <v>0</v>
      </c>
      <c r="Y82" s="78"/>
      <c r="Z82" s="83">
        <f t="shared" si="126"/>
        <v>20</v>
      </c>
      <c r="AA82" s="84" t="s">
        <v>156</v>
      </c>
      <c r="AB82" s="84">
        <f t="shared" si="137"/>
        <v>0.1</v>
      </c>
      <c r="AC82" s="84">
        <f t="shared" si="127"/>
        <v>20</v>
      </c>
      <c r="AD82" s="37">
        <f t="shared" si="138"/>
        <v>0</v>
      </c>
      <c r="AE82" s="192">
        <v>15</v>
      </c>
      <c r="AF82" s="85">
        <f t="shared" si="139"/>
        <v>0.19</v>
      </c>
      <c r="AG82" s="279">
        <v>4.6500000000000004</v>
      </c>
      <c r="AH82" s="85">
        <f t="shared" si="140"/>
        <v>0.8</v>
      </c>
      <c r="AI82" s="81"/>
      <c r="AJ82" s="85">
        <f t="shared" si="141"/>
        <v>1.2</v>
      </c>
      <c r="AK82" s="182">
        <f t="shared" si="124"/>
        <v>101.6</v>
      </c>
      <c r="AL82" s="85">
        <f t="shared" si="142"/>
        <v>0.1</v>
      </c>
      <c r="AM82" s="81"/>
      <c r="AN82" s="85">
        <f t="shared" si="143"/>
        <v>0.18</v>
      </c>
      <c r="AO82" s="38"/>
      <c r="AP82" s="39">
        <f t="shared" si="144"/>
        <v>0.15</v>
      </c>
      <c r="AQ82" s="38"/>
      <c r="AR82" s="40">
        <f t="shared" si="145"/>
        <v>615.25799999999992</v>
      </c>
      <c r="AS82" s="40">
        <f t="shared" si="146"/>
        <v>156.24000000000004</v>
      </c>
      <c r="AT82" s="40">
        <f t="shared" si="147"/>
        <v>0</v>
      </c>
      <c r="AU82" s="40">
        <f t="shared" si="148"/>
        <v>426.72</v>
      </c>
      <c r="AV82" s="40">
        <f t="shared" si="149"/>
        <v>0</v>
      </c>
      <c r="AW82" s="40">
        <f t="shared" si="150"/>
        <v>0</v>
      </c>
      <c r="AX82" s="75">
        <f t="shared" si="151"/>
        <v>1198.2179999999998</v>
      </c>
      <c r="AY82" s="75">
        <f t="shared" si="152"/>
        <v>797.10297475200014</v>
      </c>
      <c r="AZ82" s="86">
        <f t="shared" si="153"/>
        <v>0</v>
      </c>
      <c r="BA82" s="143">
        <f t="shared" si="154"/>
        <v>1995.320974752</v>
      </c>
      <c r="BB82" s="144">
        <f t="shared" si="155"/>
        <v>399.06419495040001</v>
      </c>
      <c r="BC82" s="143">
        <f t="shared" si="156"/>
        <v>2394.3851697024002</v>
      </c>
      <c r="BD82" s="87"/>
      <c r="BE82" s="143">
        <f t="shared" si="157"/>
        <v>0</v>
      </c>
      <c r="BF82" s="88"/>
      <c r="BG82" s="89">
        <f t="shared" si="158"/>
        <v>0</v>
      </c>
      <c r="BH82" s="89">
        <f t="shared" si="159"/>
        <v>812.8</v>
      </c>
      <c r="BI82" s="89">
        <f t="shared" si="160"/>
        <v>700</v>
      </c>
      <c r="BJ82" s="90">
        <f t="shared" si="161"/>
        <v>0.85</v>
      </c>
      <c r="BK82" s="89">
        <f t="shared" si="162"/>
        <v>488.25000000000011</v>
      </c>
      <c r="BL82" s="109"/>
      <c r="BM82" s="110">
        <f t="shared" si="163"/>
        <v>1301.0500000000002</v>
      </c>
      <c r="BN82" s="45">
        <f t="shared" si="164"/>
        <v>18</v>
      </c>
      <c r="BO82" s="45">
        <f t="shared" si="165"/>
        <v>26</v>
      </c>
      <c r="BP82" s="89">
        <f t="shared" si="166"/>
        <v>0</v>
      </c>
      <c r="BQ82" s="91"/>
      <c r="BR82" s="41">
        <f t="shared" si="167"/>
        <v>0</v>
      </c>
      <c r="BS82" s="110">
        <f t="shared" si="168"/>
        <v>1301.0500000000002</v>
      </c>
      <c r="BT82" s="110">
        <f t="shared" si="169"/>
        <v>464.66071428571439</v>
      </c>
    </row>
    <row r="83" spans="1:72" s="92" customFormat="1" x14ac:dyDescent="0.2">
      <c r="B83" s="228"/>
      <c r="C83" s="238"/>
      <c r="D83" s="174"/>
      <c r="E83" s="93"/>
      <c r="F83" s="185"/>
      <c r="G83" s="186"/>
      <c r="H83" s="82"/>
      <c r="I83" s="74">
        <f>$I$7</f>
        <v>7.2</v>
      </c>
      <c r="J83" s="147"/>
      <c r="K83" s="75" t="str">
        <f t="shared" si="129"/>
        <v/>
      </c>
      <c r="L83" s="75" t="str">
        <f t="shared" si="130"/>
        <v/>
      </c>
      <c r="M83" s="75">
        <f t="shared" si="131"/>
        <v>0</v>
      </c>
      <c r="N83" s="172" t="e">
        <f t="shared" si="132"/>
        <v>#DIV/0!</v>
      </c>
      <c r="O83" s="178"/>
      <c r="P83" s="179"/>
      <c r="Q83" s="177"/>
      <c r="R83" s="75" t="str">
        <f t="shared" si="133"/>
        <v/>
      </c>
      <c r="S83" s="94"/>
      <c r="T83" s="180"/>
      <c r="U83" s="95"/>
      <c r="V83" s="75">
        <f t="shared" si="134"/>
        <v>0</v>
      </c>
      <c r="W83" s="75">
        <f t="shared" si="135"/>
        <v>0</v>
      </c>
      <c r="X83" s="75">
        <f t="shared" si="136"/>
        <v>0</v>
      </c>
      <c r="Y83" s="78"/>
      <c r="Z83" s="83">
        <f t="shared" si="126"/>
        <v>20</v>
      </c>
      <c r="AA83" s="84" t="s">
        <v>247</v>
      </c>
      <c r="AB83" s="84">
        <f t="shared" si="137"/>
        <v>0.1</v>
      </c>
      <c r="AC83" s="84">
        <f t="shared" si="127"/>
        <v>20</v>
      </c>
      <c r="AD83" s="37">
        <f t="shared" si="138"/>
        <v>0</v>
      </c>
      <c r="AE83" s="192"/>
      <c r="AF83" s="85">
        <f t="shared" si="139"/>
        <v>0.19</v>
      </c>
      <c r="AG83" s="279"/>
      <c r="AH83" s="85">
        <f t="shared" si="140"/>
        <v>0.8</v>
      </c>
      <c r="AI83" s="81"/>
      <c r="AJ83" s="85">
        <f t="shared" si="141"/>
        <v>1.2</v>
      </c>
      <c r="AK83" s="182">
        <f t="shared" si="124"/>
        <v>0</v>
      </c>
      <c r="AL83" s="85">
        <f t="shared" si="142"/>
        <v>0.1</v>
      </c>
      <c r="AM83" s="81"/>
      <c r="AN83" s="85">
        <f t="shared" si="143"/>
        <v>0.18</v>
      </c>
      <c r="AO83" s="38"/>
      <c r="AP83" s="39">
        <f t="shared" si="144"/>
        <v>0.15</v>
      </c>
      <c r="AQ83" s="38"/>
      <c r="AR83" s="40">
        <f t="shared" si="145"/>
        <v>0</v>
      </c>
      <c r="AS83" s="40">
        <f t="shared" si="146"/>
        <v>0</v>
      </c>
      <c r="AT83" s="40">
        <f t="shared" si="147"/>
        <v>0</v>
      </c>
      <c r="AU83" s="40">
        <f t="shared" si="148"/>
        <v>0</v>
      </c>
      <c r="AV83" s="40">
        <f t="shared" si="149"/>
        <v>0</v>
      </c>
      <c r="AW83" s="40">
        <f t="shared" si="150"/>
        <v>0</v>
      </c>
      <c r="AX83" s="75">
        <f t="shared" si="151"/>
        <v>0</v>
      </c>
      <c r="AY83" s="75">
        <f t="shared" si="152"/>
        <v>0</v>
      </c>
      <c r="AZ83" s="86">
        <f t="shared" si="153"/>
        <v>0</v>
      </c>
      <c r="BA83" s="143">
        <f t="shared" si="154"/>
        <v>0</v>
      </c>
      <c r="BB83" s="144">
        <f t="shared" si="155"/>
        <v>0</v>
      </c>
      <c r="BC83" s="143">
        <f t="shared" si="156"/>
        <v>0</v>
      </c>
      <c r="BD83" s="87"/>
      <c r="BE83" s="143">
        <f t="shared" si="157"/>
        <v>0</v>
      </c>
      <c r="BF83" s="88"/>
      <c r="BG83" s="89">
        <f t="shared" si="158"/>
        <v>0</v>
      </c>
      <c r="BH83" s="89">
        <f t="shared" si="159"/>
        <v>0</v>
      </c>
      <c r="BI83" s="89">
        <f t="shared" si="160"/>
        <v>700</v>
      </c>
      <c r="BJ83" s="90">
        <f t="shared" si="161"/>
        <v>0.85</v>
      </c>
      <c r="BK83" s="89">
        <f t="shared" si="162"/>
        <v>0</v>
      </c>
      <c r="BL83" s="109"/>
      <c r="BM83" s="110">
        <f t="shared" si="163"/>
        <v>0</v>
      </c>
      <c r="BN83" s="45">
        <f t="shared" si="164"/>
        <v>18</v>
      </c>
      <c r="BO83" s="45">
        <f t="shared" si="165"/>
        <v>26</v>
      </c>
      <c r="BP83" s="89">
        <f t="shared" si="166"/>
        <v>0</v>
      </c>
      <c r="BQ83" s="91"/>
      <c r="BR83" s="41">
        <f t="shared" si="167"/>
        <v>0</v>
      </c>
      <c r="BS83" s="110">
        <f t="shared" si="168"/>
        <v>0</v>
      </c>
      <c r="BT83" s="110" t="str">
        <f t="shared" si="169"/>
        <v/>
      </c>
    </row>
    <row r="84" spans="1:72" s="160" customFormat="1" x14ac:dyDescent="0.2">
      <c r="B84" s="167" t="s">
        <v>100</v>
      </c>
      <c r="C84" s="168"/>
      <c r="D84" s="168"/>
      <c r="E84" s="169"/>
      <c r="F84" s="165">
        <f>SUBTOTAL(9,F11:F83)</f>
        <v>3054.6</v>
      </c>
      <c r="G84" s="165">
        <f>SUBTOTAL(9,G11:G83)</f>
        <v>231</v>
      </c>
      <c r="O84" s="166">
        <f>SUBTOTAL(9,O11:O83)</f>
        <v>34820</v>
      </c>
      <c r="P84" s="166">
        <f>SUBTOTAL(9,P11:P83)</f>
        <v>35020</v>
      </c>
      <c r="Q84" s="166">
        <f>SUBTOTAL(9,Q11:Q83)</f>
        <v>1570</v>
      </c>
      <c r="AM84" s="161"/>
      <c r="AR84" s="164">
        <f t="shared" ref="AR84:BD84" si="170">SUBTOTAL(9,AR11:AR83)</f>
        <v>13005.839910000001</v>
      </c>
      <c r="AS84" s="164">
        <f t="shared" si="170"/>
        <v>3027.6960000000004</v>
      </c>
      <c r="AT84" s="164">
        <f t="shared" si="170"/>
        <v>0</v>
      </c>
      <c r="AU84" s="164">
        <f t="shared" si="170"/>
        <v>8948.94</v>
      </c>
      <c r="AV84" s="164">
        <f t="shared" si="170"/>
        <v>15843.491999999998</v>
      </c>
      <c r="AW84" s="164">
        <f t="shared" si="170"/>
        <v>0</v>
      </c>
      <c r="AX84" s="164">
        <f t="shared" si="170"/>
        <v>40825.967910000007</v>
      </c>
      <c r="AY84" s="164">
        <f t="shared" si="170"/>
        <v>28427.670203318401</v>
      </c>
      <c r="AZ84" s="164">
        <f t="shared" si="170"/>
        <v>-52104.052000000011</v>
      </c>
      <c r="BA84" s="241">
        <f t="shared" si="170"/>
        <v>17149.586113318393</v>
      </c>
      <c r="BB84" s="164">
        <f t="shared" si="170"/>
        <v>7827.3432869676826</v>
      </c>
      <c r="BC84" s="164">
        <f t="shared" si="170"/>
        <v>33771.781528894084</v>
      </c>
      <c r="BD84" s="164">
        <f t="shared" si="170"/>
        <v>42522</v>
      </c>
      <c r="BG84" s="163">
        <f>SUBTOTAL(9,BG11:BG83)</f>
        <v>18480</v>
      </c>
      <c r="BH84" s="163">
        <f>SUBTOTAL(9,BH11:BH83)</f>
        <v>24436.799999999999</v>
      </c>
      <c r="BJ84" s="162"/>
      <c r="BK84" s="163">
        <f>SUBTOTAL(9,BK11:BK83)</f>
        <v>9461.5500000000011</v>
      </c>
      <c r="BL84" s="163">
        <f>SUBTOTAL(9,BL11:BL83)</f>
        <v>0</v>
      </c>
      <c r="BM84" s="163">
        <f>SUBTOTAL(9,BM11:BM83)</f>
        <v>52060.75</v>
      </c>
      <c r="BP84" s="163">
        <f>SUBTOTAL(9,BP11:BP83)</f>
        <v>97076</v>
      </c>
      <c r="BQ84" s="163">
        <f>SUBTOTAL(9,BQ11:BQ83)</f>
        <v>0</v>
      </c>
      <c r="BR84" s="163">
        <f>SUBTOTAL(9,BR11:BR83)</f>
        <v>97076</v>
      </c>
    </row>
    <row r="85" spans="1:72" s="92" customFormat="1" x14ac:dyDescent="0.2">
      <c r="AM85" s="67"/>
      <c r="BJ85" s="96"/>
    </row>
    <row r="86" spans="1:72" s="92" customFormat="1" x14ac:dyDescent="0.2">
      <c r="AM86" s="67"/>
      <c r="BJ86" s="96"/>
    </row>
    <row r="87" spans="1:72" s="92" customFormat="1" x14ac:dyDescent="0.2">
      <c r="AM87" s="67"/>
      <c r="BJ87" s="96"/>
    </row>
    <row r="88" spans="1:72" s="92" customFormat="1" x14ac:dyDescent="0.2">
      <c r="AM88" s="67"/>
      <c r="BJ88" s="96"/>
    </row>
    <row r="89" spans="1:72" s="92" customFormat="1" x14ac:dyDescent="0.2">
      <c r="AM89" s="67"/>
      <c r="BJ89" s="96"/>
    </row>
    <row r="90" spans="1:72" s="92" customFormat="1" x14ac:dyDescent="0.2">
      <c r="AM90" s="67"/>
      <c r="BJ90" s="96"/>
    </row>
    <row r="91" spans="1:72" s="92" customFormat="1" x14ac:dyDescent="0.2">
      <c r="AM91" s="67"/>
      <c r="BJ91" s="96"/>
    </row>
    <row r="92" spans="1:72" s="92" customFormat="1" x14ac:dyDescent="0.2">
      <c r="AM92" s="67"/>
      <c r="BJ92" s="96"/>
    </row>
    <row r="93" spans="1:72" s="92" customFormat="1" x14ac:dyDescent="0.2">
      <c r="AM93" s="67"/>
      <c r="BJ93" s="96"/>
    </row>
    <row r="94" spans="1:72" s="92" customFormat="1" x14ac:dyDescent="0.2">
      <c r="A94" s="67"/>
      <c r="B94" s="67"/>
      <c r="H94" s="67"/>
      <c r="Y94" s="67"/>
      <c r="BF94" s="67"/>
      <c r="BG94" s="67"/>
      <c r="BH94" s="67"/>
      <c r="BI94" s="67"/>
      <c r="BJ94" s="106"/>
    </row>
    <row r="95" spans="1:72" s="92" customFormat="1" x14ac:dyDescent="0.2">
      <c r="A95" s="67"/>
      <c r="B95" s="67"/>
      <c r="H95" s="67"/>
      <c r="Y95" s="67"/>
      <c r="BF95" s="67"/>
      <c r="BG95" s="67"/>
      <c r="BH95" s="67"/>
      <c r="BI95" s="67"/>
      <c r="BJ95" s="106"/>
    </row>
    <row r="96" spans="1:72" s="92" customFormat="1" x14ac:dyDescent="0.2">
      <c r="A96" s="67"/>
      <c r="B96" s="67"/>
      <c r="H96" s="67"/>
      <c r="Y96" s="67"/>
      <c r="BF96" s="67"/>
      <c r="BG96" s="67"/>
      <c r="BH96" s="67"/>
      <c r="BI96" s="67"/>
      <c r="BJ96" s="106"/>
    </row>
    <row r="97" spans="1:62" s="92" customFormat="1" x14ac:dyDescent="0.2">
      <c r="A97" s="67"/>
      <c r="B97" s="67"/>
      <c r="H97" s="67"/>
      <c r="Y97" s="67"/>
      <c r="BF97" s="67"/>
      <c r="BG97" s="67"/>
      <c r="BH97" s="67"/>
      <c r="BI97" s="67"/>
      <c r="BJ97" s="106"/>
    </row>
    <row r="98" spans="1:62" s="92" customFormat="1" x14ac:dyDescent="0.2">
      <c r="A98" s="67"/>
      <c r="B98" s="67"/>
      <c r="H98" s="67"/>
      <c r="Y98" s="67"/>
      <c r="BF98" s="67"/>
      <c r="BG98" s="67"/>
      <c r="BH98" s="67"/>
      <c r="BI98" s="67"/>
      <c r="BJ98" s="106"/>
    </row>
    <row r="99" spans="1:62" s="92" customFormat="1" x14ac:dyDescent="0.2">
      <c r="A99" s="67"/>
      <c r="B99" s="67"/>
      <c r="H99" s="67"/>
      <c r="Y99" s="67"/>
      <c r="BF99" s="67"/>
      <c r="BG99" s="67"/>
      <c r="BH99" s="67"/>
      <c r="BI99" s="67"/>
      <c r="BJ99" s="106"/>
    </row>
    <row r="100" spans="1:62" s="92" customFormat="1" x14ac:dyDescent="0.2">
      <c r="A100" s="67"/>
      <c r="B100" s="67"/>
      <c r="H100" s="67"/>
      <c r="Y100" s="67"/>
      <c r="BF100" s="67"/>
      <c r="BG100" s="67"/>
      <c r="BH100" s="67"/>
      <c r="BI100" s="67"/>
      <c r="BJ100" s="106"/>
    </row>
    <row r="101" spans="1:62" s="92" customFormat="1" x14ac:dyDescent="0.2">
      <c r="A101" s="67"/>
      <c r="B101" s="67"/>
      <c r="H101" s="67"/>
      <c r="Y101" s="67"/>
      <c r="BF101" s="67"/>
      <c r="BG101" s="67"/>
      <c r="BH101" s="67"/>
      <c r="BI101" s="67"/>
      <c r="BJ101" s="106"/>
    </row>
    <row r="102" spans="1:62" s="92" customFormat="1" x14ac:dyDescent="0.2">
      <c r="A102" s="67"/>
      <c r="B102" s="67"/>
      <c r="H102" s="67"/>
      <c r="Y102" s="67"/>
      <c r="BF102" s="67"/>
      <c r="BG102" s="67"/>
      <c r="BH102" s="67"/>
      <c r="BI102" s="67"/>
      <c r="BJ102" s="106"/>
    </row>
    <row r="103" spans="1:62" s="92" customFormat="1" x14ac:dyDescent="0.2">
      <c r="A103" s="67"/>
      <c r="B103" s="67"/>
      <c r="H103" s="67"/>
      <c r="Y103" s="67"/>
      <c r="BF103" s="67"/>
      <c r="BG103" s="67"/>
      <c r="BH103" s="67"/>
      <c r="BI103" s="67"/>
      <c r="BJ103" s="106"/>
    </row>
    <row r="104" spans="1:62" s="92" customFormat="1" x14ac:dyDescent="0.2">
      <c r="A104" s="67"/>
      <c r="B104" s="67"/>
      <c r="H104" s="67"/>
      <c r="Y104" s="67"/>
      <c r="BF104" s="67"/>
      <c r="BG104" s="67"/>
      <c r="BH104" s="67"/>
      <c r="BI104" s="67"/>
      <c r="BJ104" s="106"/>
    </row>
    <row r="105" spans="1:62" s="92" customFormat="1" x14ac:dyDescent="0.2">
      <c r="A105" s="67"/>
      <c r="B105" s="67"/>
      <c r="H105" s="67"/>
      <c r="Y105" s="67"/>
      <c r="BF105" s="67"/>
      <c r="BG105" s="67"/>
      <c r="BH105" s="67"/>
      <c r="BI105" s="67"/>
      <c r="BJ105" s="106"/>
    </row>
    <row r="106" spans="1:62" s="92" customFormat="1" x14ac:dyDescent="0.2">
      <c r="A106" s="67"/>
      <c r="B106" s="67"/>
      <c r="H106" s="67"/>
      <c r="Y106" s="67"/>
      <c r="BF106" s="67"/>
      <c r="BG106" s="67"/>
      <c r="BH106" s="67"/>
      <c r="BI106" s="67"/>
      <c r="BJ106" s="106"/>
    </row>
    <row r="107" spans="1:62" s="92" customFormat="1" x14ac:dyDescent="0.2">
      <c r="A107" s="67"/>
      <c r="B107" s="67"/>
      <c r="H107" s="67"/>
      <c r="Y107" s="67"/>
      <c r="BF107" s="67"/>
      <c r="BG107" s="67"/>
      <c r="BH107" s="67"/>
      <c r="BI107" s="67"/>
      <c r="BJ107" s="106"/>
    </row>
    <row r="108" spans="1:62" s="92" customFormat="1" x14ac:dyDescent="0.2">
      <c r="A108" s="67"/>
      <c r="B108" s="67"/>
      <c r="H108" s="67"/>
      <c r="Y108" s="67"/>
      <c r="BF108" s="67"/>
      <c r="BG108" s="67"/>
      <c r="BH108" s="67"/>
      <c r="BI108" s="67"/>
      <c r="BJ108" s="106"/>
    </row>
    <row r="109" spans="1:62" s="92" customFormat="1" x14ac:dyDescent="0.2">
      <c r="A109" s="67"/>
      <c r="B109" s="67"/>
      <c r="H109" s="67"/>
      <c r="Y109" s="67"/>
      <c r="BF109" s="67"/>
      <c r="BG109" s="67"/>
      <c r="BH109" s="67"/>
      <c r="BI109" s="67"/>
      <c r="BJ109" s="106"/>
    </row>
    <row r="110" spans="1:62" s="92" customFormat="1" x14ac:dyDescent="0.2">
      <c r="A110" s="67"/>
      <c r="B110" s="67"/>
      <c r="H110" s="67"/>
      <c r="Y110" s="67"/>
      <c r="BF110" s="67"/>
      <c r="BG110" s="67"/>
      <c r="BH110" s="67"/>
      <c r="BI110" s="67"/>
      <c r="BJ110" s="106"/>
    </row>
    <row r="111" spans="1:62" s="92" customFormat="1" x14ac:dyDescent="0.2">
      <c r="A111" s="67"/>
      <c r="B111" s="67"/>
      <c r="H111" s="67"/>
      <c r="Y111" s="67"/>
      <c r="BF111" s="67"/>
      <c r="BG111" s="67"/>
      <c r="BH111" s="67"/>
      <c r="BI111" s="67"/>
      <c r="BJ111" s="106"/>
    </row>
    <row r="112" spans="1:62" s="92" customFormat="1" x14ac:dyDescent="0.2">
      <c r="A112" s="67"/>
      <c r="B112" s="67"/>
      <c r="H112" s="67"/>
      <c r="Y112" s="67"/>
      <c r="BF112" s="67"/>
      <c r="BG112" s="67"/>
      <c r="BH112" s="67"/>
      <c r="BI112" s="67"/>
      <c r="BJ112" s="106"/>
    </row>
    <row r="113" spans="1:62" s="92" customFormat="1" x14ac:dyDescent="0.2">
      <c r="A113" s="67"/>
      <c r="B113" s="67"/>
      <c r="H113" s="67"/>
      <c r="Y113" s="67"/>
      <c r="BF113" s="67"/>
      <c r="BG113" s="67"/>
      <c r="BH113" s="67"/>
      <c r="BI113" s="67"/>
      <c r="BJ113" s="106"/>
    </row>
    <row r="114" spans="1:62" s="92" customFormat="1" x14ac:dyDescent="0.2">
      <c r="A114" s="67"/>
      <c r="B114" s="67"/>
      <c r="H114" s="67"/>
      <c r="Y114" s="67"/>
      <c r="BF114" s="67"/>
      <c r="BG114" s="67"/>
      <c r="BH114" s="67"/>
      <c r="BI114" s="67"/>
      <c r="BJ114" s="106"/>
    </row>
    <row r="115" spans="1:62" s="92" customFormat="1" x14ac:dyDescent="0.2">
      <c r="A115" s="67"/>
      <c r="B115" s="67"/>
      <c r="H115" s="67"/>
      <c r="Y115" s="67"/>
      <c r="BF115" s="67"/>
      <c r="BG115" s="67"/>
      <c r="BH115" s="67"/>
      <c r="BI115" s="67"/>
      <c r="BJ115" s="106"/>
    </row>
    <row r="116" spans="1:62" s="92" customFormat="1" x14ac:dyDescent="0.2">
      <c r="A116" s="67"/>
      <c r="B116" s="67"/>
      <c r="H116" s="67"/>
      <c r="Y116" s="67"/>
      <c r="BF116" s="67"/>
      <c r="BG116" s="67"/>
      <c r="BH116" s="67"/>
      <c r="BI116" s="67"/>
      <c r="BJ116" s="106"/>
    </row>
    <row r="117" spans="1:62" s="92" customFormat="1" x14ac:dyDescent="0.2">
      <c r="A117" s="67"/>
      <c r="B117" s="67"/>
      <c r="H117" s="67"/>
      <c r="Y117" s="67"/>
      <c r="BF117" s="67"/>
      <c r="BG117" s="67"/>
      <c r="BH117" s="67"/>
      <c r="BI117" s="67"/>
      <c r="BJ117" s="106"/>
    </row>
    <row r="118" spans="1:62" s="92" customFormat="1" x14ac:dyDescent="0.2">
      <c r="A118" s="67"/>
      <c r="B118" s="67"/>
      <c r="H118" s="67"/>
      <c r="Y118" s="67"/>
      <c r="BF118" s="67"/>
      <c r="BG118" s="67"/>
      <c r="BH118" s="67"/>
      <c r="BI118" s="67"/>
      <c r="BJ118" s="106"/>
    </row>
    <row r="119" spans="1:62" s="92" customFormat="1" x14ac:dyDescent="0.2">
      <c r="A119" s="67"/>
      <c r="B119" s="67"/>
      <c r="H119" s="67"/>
      <c r="Y119" s="67"/>
      <c r="BF119" s="67"/>
      <c r="BG119" s="67"/>
      <c r="BH119" s="67"/>
      <c r="BI119" s="67"/>
      <c r="BJ119" s="106"/>
    </row>
    <row r="120" spans="1:62" s="92" customFormat="1" x14ac:dyDescent="0.2">
      <c r="A120" s="67"/>
      <c r="B120" s="67"/>
      <c r="H120" s="67"/>
      <c r="Y120" s="67"/>
      <c r="BF120" s="67"/>
      <c r="BG120" s="67"/>
      <c r="BH120" s="67"/>
      <c r="BI120" s="67"/>
      <c r="BJ120" s="106"/>
    </row>
    <row r="121" spans="1:62" s="92" customFormat="1" x14ac:dyDescent="0.2">
      <c r="A121" s="67"/>
      <c r="B121" s="67"/>
      <c r="H121" s="67"/>
      <c r="Y121" s="67"/>
      <c r="BF121" s="67"/>
      <c r="BG121" s="67"/>
      <c r="BH121" s="67"/>
      <c r="BI121" s="67"/>
      <c r="BJ121" s="106"/>
    </row>
    <row r="122" spans="1:62" s="92" customFormat="1" x14ac:dyDescent="0.2">
      <c r="A122" s="67"/>
      <c r="B122" s="67"/>
      <c r="H122" s="67"/>
      <c r="Y122" s="67"/>
      <c r="BF122" s="67"/>
      <c r="BG122" s="67"/>
      <c r="BH122" s="67"/>
      <c r="BI122" s="67"/>
      <c r="BJ122" s="106"/>
    </row>
    <row r="123" spans="1:62" s="92" customFormat="1" x14ac:dyDescent="0.2">
      <c r="A123" s="67"/>
      <c r="B123" s="67"/>
      <c r="H123" s="67"/>
      <c r="Y123" s="67"/>
      <c r="BF123" s="67"/>
      <c r="BG123" s="67"/>
      <c r="BH123" s="67"/>
      <c r="BI123" s="67"/>
      <c r="BJ123" s="106"/>
    </row>
    <row r="124" spans="1:62" s="92" customFormat="1" x14ac:dyDescent="0.2">
      <c r="A124" s="67"/>
      <c r="B124" s="67"/>
      <c r="H124" s="67"/>
      <c r="Y124" s="67"/>
      <c r="BF124" s="67"/>
      <c r="BG124" s="67"/>
      <c r="BH124" s="67"/>
      <c r="BI124" s="67"/>
      <c r="BJ124" s="106"/>
    </row>
    <row r="125" spans="1:62" s="92" customFormat="1" x14ac:dyDescent="0.2">
      <c r="A125" s="67"/>
      <c r="B125" s="67"/>
      <c r="H125" s="67"/>
      <c r="Y125" s="67"/>
      <c r="BF125" s="67"/>
      <c r="BG125" s="67"/>
      <c r="BH125" s="67"/>
      <c r="BI125" s="67"/>
      <c r="BJ125" s="106"/>
    </row>
    <row r="126" spans="1:62" s="92" customFormat="1" x14ac:dyDescent="0.2">
      <c r="A126" s="67"/>
      <c r="B126" s="67"/>
      <c r="H126" s="67"/>
      <c r="Y126" s="67"/>
      <c r="BF126" s="67"/>
      <c r="BG126" s="67"/>
      <c r="BH126" s="67"/>
      <c r="BI126" s="67"/>
      <c r="BJ126" s="106"/>
    </row>
    <row r="127" spans="1:62" s="92" customFormat="1" x14ac:dyDescent="0.2">
      <c r="A127" s="67"/>
      <c r="B127" s="67"/>
      <c r="H127" s="67"/>
      <c r="Y127" s="67"/>
      <c r="BF127" s="67"/>
      <c r="BG127" s="67"/>
      <c r="BH127" s="67"/>
      <c r="BI127" s="67"/>
      <c r="BJ127" s="106"/>
    </row>
    <row r="128" spans="1:62" s="92" customFormat="1" x14ac:dyDescent="0.2">
      <c r="A128" s="67"/>
      <c r="B128" s="67"/>
      <c r="H128" s="67"/>
      <c r="Y128" s="67"/>
      <c r="BF128" s="67"/>
      <c r="BG128" s="67"/>
      <c r="BH128" s="67"/>
      <c r="BI128" s="67"/>
      <c r="BJ128" s="106"/>
    </row>
    <row r="129" spans="1:62" s="92" customFormat="1" x14ac:dyDescent="0.2">
      <c r="A129" s="67"/>
      <c r="B129" s="67"/>
      <c r="H129" s="67"/>
      <c r="Y129" s="67"/>
      <c r="BF129" s="67"/>
      <c r="BG129" s="67"/>
      <c r="BH129" s="67"/>
      <c r="BI129" s="67"/>
      <c r="BJ129" s="106"/>
    </row>
    <row r="130" spans="1:62" s="92" customFormat="1" x14ac:dyDescent="0.2">
      <c r="A130" s="67"/>
      <c r="B130" s="67"/>
      <c r="H130" s="67"/>
      <c r="Y130" s="67"/>
      <c r="BF130" s="67"/>
      <c r="BG130" s="67"/>
      <c r="BH130" s="67"/>
      <c r="BI130" s="67"/>
      <c r="BJ130" s="106"/>
    </row>
    <row r="131" spans="1:62" s="92" customFormat="1" x14ac:dyDescent="0.2">
      <c r="A131" s="67"/>
      <c r="B131" s="67"/>
      <c r="H131" s="67"/>
      <c r="Y131" s="67"/>
      <c r="BF131" s="67"/>
      <c r="BG131" s="67"/>
      <c r="BH131" s="67"/>
      <c r="BI131" s="67"/>
      <c r="BJ131" s="106"/>
    </row>
    <row r="132" spans="1:62" s="92" customFormat="1" x14ac:dyDescent="0.2">
      <c r="A132" s="67"/>
      <c r="B132" s="67"/>
      <c r="H132" s="67"/>
      <c r="Y132" s="67"/>
      <c r="BF132" s="67"/>
      <c r="BG132" s="67"/>
      <c r="BH132" s="67"/>
      <c r="BI132" s="67"/>
      <c r="BJ132" s="106"/>
    </row>
    <row r="133" spans="1:62" s="92" customFormat="1" x14ac:dyDescent="0.2">
      <c r="A133" s="67"/>
      <c r="B133" s="67"/>
      <c r="H133" s="67"/>
      <c r="Y133" s="67"/>
      <c r="BF133" s="67"/>
      <c r="BG133" s="67"/>
      <c r="BH133" s="67"/>
      <c r="BI133" s="67"/>
      <c r="BJ133" s="106"/>
    </row>
    <row r="134" spans="1:62" s="92" customFormat="1" x14ac:dyDescent="0.2">
      <c r="A134" s="67"/>
      <c r="B134" s="67"/>
      <c r="H134" s="67"/>
      <c r="Y134" s="67"/>
      <c r="BF134" s="67"/>
      <c r="BG134" s="67"/>
      <c r="BH134" s="67"/>
      <c r="BI134" s="67"/>
      <c r="BJ134" s="106"/>
    </row>
    <row r="135" spans="1:62" s="92" customFormat="1" x14ac:dyDescent="0.2">
      <c r="A135" s="67"/>
      <c r="B135" s="67"/>
      <c r="H135" s="67"/>
      <c r="Y135" s="67"/>
      <c r="BF135" s="67"/>
      <c r="BG135" s="67"/>
      <c r="BH135" s="67"/>
      <c r="BI135" s="67"/>
      <c r="BJ135" s="106"/>
    </row>
    <row r="136" spans="1:62" s="92" customFormat="1" x14ac:dyDescent="0.2">
      <c r="A136" s="67"/>
      <c r="B136" s="67"/>
      <c r="H136" s="67"/>
      <c r="Y136" s="67"/>
      <c r="BF136" s="67"/>
      <c r="BG136" s="67"/>
      <c r="BH136" s="67"/>
      <c r="BI136" s="67"/>
      <c r="BJ136" s="106"/>
    </row>
    <row r="137" spans="1:62" s="92" customFormat="1" x14ac:dyDescent="0.2">
      <c r="A137" s="67"/>
      <c r="B137" s="67"/>
      <c r="H137" s="67"/>
      <c r="Y137" s="67"/>
      <c r="BF137" s="67"/>
      <c r="BG137" s="67"/>
      <c r="BH137" s="67"/>
      <c r="BI137" s="67"/>
      <c r="BJ137" s="106"/>
    </row>
    <row r="138" spans="1:62" s="92" customFormat="1" x14ac:dyDescent="0.2">
      <c r="A138" s="67"/>
      <c r="B138" s="67"/>
      <c r="H138" s="67"/>
      <c r="Y138" s="67"/>
      <c r="BF138" s="67"/>
      <c r="BG138" s="67"/>
      <c r="BH138" s="67"/>
      <c r="BI138" s="67"/>
      <c r="BJ138" s="106"/>
    </row>
    <row r="139" spans="1:62" s="92" customFormat="1" x14ac:dyDescent="0.2">
      <c r="A139" s="67"/>
      <c r="B139" s="67"/>
      <c r="H139" s="67"/>
      <c r="Y139" s="67"/>
      <c r="BF139" s="67"/>
      <c r="BG139" s="67"/>
      <c r="BH139" s="67"/>
      <c r="BI139" s="67"/>
      <c r="BJ139" s="106"/>
    </row>
    <row r="140" spans="1:62" s="92" customFormat="1" x14ac:dyDescent="0.2">
      <c r="A140" s="67"/>
      <c r="B140" s="67"/>
      <c r="H140" s="67"/>
      <c r="Y140" s="67"/>
      <c r="BF140" s="67"/>
      <c r="BG140" s="67"/>
      <c r="BH140" s="67"/>
      <c r="BI140" s="67"/>
      <c r="BJ140" s="106"/>
    </row>
    <row r="141" spans="1:62" s="92" customFormat="1" x14ac:dyDescent="0.2">
      <c r="A141" s="67"/>
      <c r="B141" s="67"/>
      <c r="H141" s="67"/>
      <c r="Y141" s="67"/>
      <c r="BF141" s="67"/>
      <c r="BG141" s="67"/>
      <c r="BH141" s="67"/>
      <c r="BI141" s="67"/>
      <c r="BJ141" s="106"/>
    </row>
    <row r="142" spans="1:62" s="92" customFormat="1" x14ac:dyDescent="0.2">
      <c r="A142" s="67"/>
      <c r="B142" s="67"/>
      <c r="H142" s="67"/>
      <c r="Y142" s="67"/>
      <c r="BF142" s="67"/>
      <c r="BG142" s="67"/>
      <c r="BH142" s="67"/>
      <c r="BI142" s="67"/>
      <c r="BJ142" s="106"/>
    </row>
    <row r="143" spans="1:62" s="92" customFormat="1" x14ac:dyDescent="0.2">
      <c r="A143" s="67"/>
      <c r="B143" s="67"/>
      <c r="H143" s="67"/>
      <c r="Y143" s="67"/>
      <c r="BF143" s="67"/>
      <c r="BG143" s="67"/>
      <c r="BH143" s="67"/>
      <c r="BI143" s="67"/>
      <c r="BJ143" s="106"/>
    </row>
    <row r="144" spans="1:62" s="92" customFormat="1" x14ac:dyDescent="0.2">
      <c r="A144" s="67"/>
      <c r="B144" s="67"/>
      <c r="H144" s="67"/>
      <c r="Y144" s="67"/>
      <c r="BF144" s="67"/>
      <c r="BG144" s="67"/>
      <c r="BH144" s="67"/>
      <c r="BI144" s="67"/>
      <c r="BJ144" s="106"/>
    </row>
    <row r="145" spans="1:62" s="92" customFormat="1" x14ac:dyDescent="0.2">
      <c r="A145" s="67"/>
      <c r="B145" s="67"/>
      <c r="H145" s="67"/>
      <c r="Y145" s="67"/>
      <c r="BF145" s="67"/>
      <c r="BG145" s="67"/>
      <c r="BH145" s="67"/>
      <c r="BI145" s="67"/>
      <c r="BJ145" s="106"/>
    </row>
    <row r="146" spans="1:62" s="92" customFormat="1" x14ac:dyDescent="0.2">
      <c r="A146" s="67"/>
      <c r="B146" s="67"/>
      <c r="H146" s="67"/>
      <c r="Y146" s="67"/>
      <c r="BF146" s="67"/>
      <c r="BG146" s="67"/>
      <c r="BH146" s="67"/>
      <c r="BI146" s="67"/>
      <c r="BJ146" s="106"/>
    </row>
    <row r="147" spans="1:62" s="92" customFormat="1" x14ac:dyDescent="0.2">
      <c r="A147" s="67"/>
      <c r="B147" s="67"/>
      <c r="H147" s="67"/>
      <c r="Y147" s="67"/>
      <c r="BF147" s="67"/>
      <c r="BG147" s="67"/>
      <c r="BH147" s="67"/>
      <c r="BI147" s="67"/>
      <c r="BJ147" s="106"/>
    </row>
    <row r="148" spans="1:62" s="92" customFormat="1" x14ac:dyDescent="0.2">
      <c r="A148" s="67"/>
      <c r="B148" s="67"/>
      <c r="H148" s="67"/>
      <c r="Y148" s="67"/>
      <c r="BF148" s="67"/>
      <c r="BG148" s="67"/>
      <c r="BH148" s="67"/>
      <c r="BI148" s="67"/>
      <c r="BJ148" s="106"/>
    </row>
    <row r="149" spans="1:62" s="92" customFormat="1" x14ac:dyDescent="0.2">
      <c r="A149" s="67"/>
      <c r="B149" s="67"/>
      <c r="H149" s="67"/>
      <c r="Y149" s="67"/>
      <c r="BF149" s="67"/>
      <c r="BG149" s="67"/>
      <c r="BH149" s="67"/>
      <c r="BI149" s="67"/>
      <c r="BJ149" s="106"/>
    </row>
    <row r="150" spans="1:62" s="92" customFormat="1" x14ac:dyDescent="0.2">
      <c r="A150" s="67"/>
      <c r="B150" s="67"/>
      <c r="H150" s="67"/>
      <c r="Y150" s="67"/>
      <c r="BF150" s="67"/>
      <c r="BG150" s="67"/>
      <c r="BH150" s="67"/>
      <c r="BI150" s="67"/>
      <c r="BJ150" s="106"/>
    </row>
    <row r="151" spans="1:62" s="92" customFormat="1" x14ac:dyDescent="0.2">
      <c r="A151" s="67"/>
      <c r="B151" s="67"/>
      <c r="H151" s="67"/>
      <c r="Y151" s="67"/>
      <c r="BF151" s="67"/>
      <c r="BG151" s="67"/>
      <c r="BH151" s="67"/>
      <c r="BI151" s="67"/>
      <c r="BJ151" s="106"/>
    </row>
    <row r="152" spans="1:62" s="92" customFormat="1" x14ac:dyDescent="0.2">
      <c r="A152" s="67"/>
      <c r="B152" s="67"/>
      <c r="H152" s="67"/>
      <c r="Y152" s="67"/>
      <c r="BF152" s="67"/>
      <c r="BG152" s="67"/>
      <c r="BH152" s="67"/>
      <c r="BI152" s="67"/>
      <c r="BJ152" s="106"/>
    </row>
    <row r="153" spans="1:62" s="92" customFormat="1" x14ac:dyDescent="0.2">
      <c r="A153" s="67"/>
      <c r="B153" s="67"/>
      <c r="H153" s="67"/>
      <c r="Y153" s="67"/>
      <c r="BF153" s="67"/>
      <c r="BG153" s="67"/>
      <c r="BH153" s="67"/>
      <c r="BI153" s="67"/>
      <c r="BJ153" s="106"/>
    </row>
    <row r="154" spans="1:62" s="92" customFormat="1" x14ac:dyDescent="0.2">
      <c r="A154" s="67"/>
      <c r="B154" s="67"/>
      <c r="H154" s="67"/>
      <c r="Y154" s="67"/>
      <c r="BF154" s="67"/>
      <c r="BG154" s="67"/>
      <c r="BH154" s="67"/>
      <c r="BI154" s="67"/>
      <c r="BJ154" s="106"/>
    </row>
    <row r="155" spans="1:62" s="92" customFormat="1" x14ac:dyDescent="0.2">
      <c r="A155" s="67"/>
      <c r="B155" s="67"/>
      <c r="H155" s="67"/>
      <c r="Y155" s="67"/>
      <c r="BF155" s="67"/>
      <c r="BG155" s="67"/>
      <c r="BH155" s="67"/>
      <c r="BI155" s="67"/>
      <c r="BJ155" s="106"/>
    </row>
    <row r="156" spans="1:62" s="92" customFormat="1" x14ac:dyDescent="0.2">
      <c r="A156" s="67"/>
      <c r="B156" s="67"/>
      <c r="H156" s="67"/>
      <c r="Y156" s="67"/>
      <c r="BF156" s="67"/>
      <c r="BG156" s="67"/>
      <c r="BH156" s="67"/>
      <c r="BI156" s="67"/>
      <c r="BJ156" s="106"/>
    </row>
    <row r="157" spans="1:62" s="92" customFormat="1" x14ac:dyDescent="0.2">
      <c r="A157" s="67"/>
      <c r="B157" s="67"/>
      <c r="H157" s="67"/>
      <c r="Y157" s="67"/>
      <c r="BF157" s="67"/>
      <c r="BG157" s="67"/>
      <c r="BH157" s="67"/>
      <c r="BI157" s="67"/>
      <c r="BJ157" s="106"/>
    </row>
    <row r="158" spans="1:62" s="92" customFormat="1" x14ac:dyDescent="0.2">
      <c r="A158" s="67"/>
      <c r="B158" s="67"/>
      <c r="H158" s="67"/>
      <c r="Y158" s="67"/>
      <c r="BF158" s="67"/>
      <c r="BG158" s="67"/>
      <c r="BH158" s="67"/>
      <c r="BI158" s="67"/>
      <c r="BJ158" s="106"/>
    </row>
    <row r="159" spans="1:62" s="92" customFormat="1" x14ac:dyDescent="0.2">
      <c r="A159" s="67"/>
      <c r="B159" s="67"/>
      <c r="H159" s="67"/>
      <c r="Y159" s="67"/>
      <c r="BF159" s="67"/>
      <c r="BG159" s="67"/>
      <c r="BH159" s="67"/>
      <c r="BI159" s="67"/>
      <c r="BJ159" s="106"/>
    </row>
    <row r="160" spans="1:62" s="92" customFormat="1" x14ac:dyDescent="0.2">
      <c r="A160" s="67"/>
      <c r="B160" s="67"/>
      <c r="H160" s="67"/>
      <c r="Y160" s="67"/>
      <c r="BF160" s="67"/>
      <c r="BG160" s="67"/>
      <c r="BH160" s="67"/>
      <c r="BI160" s="67"/>
      <c r="BJ160" s="106"/>
    </row>
    <row r="161" spans="1:62" s="92" customFormat="1" x14ac:dyDescent="0.2">
      <c r="A161" s="67"/>
      <c r="B161" s="67"/>
      <c r="H161" s="67"/>
      <c r="Y161" s="67"/>
      <c r="BF161" s="67"/>
      <c r="BG161" s="67"/>
      <c r="BH161" s="67"/>
      <c r="BI161" s="67"/>
      <c r="BJ161" s="106"/>
    </row>
    <row r="162" spans="1:62" s="92" customFormat="1" x14ac:dyDescent="0.2">
      <c r="A162" s="67"/>
      <c r="B162" s="67"/>
      <c r="H162" s="67"/>
      <c r="Y162" s="67"/>
      <c r="BF162" s="67"/>
      <c r="BG162" s="67"/>
      <c r="BH162" s="67"/>
      <c r="BI162" s="67"/>
      <c r="BJ162" s="106"/>
    </row>
    <row r="163" spans="1:62" s="92" customFormat="1" x14ac:dyDescent="0.2">
      <c r="A163" s="67"/>
      <c r="B163" s="67"/>
      <c r="H163" s="67"/>
      <c r="Y163" s="67"/>
      <c r="BF163" s="67"/>
      <c r="BG163" s="67"/>
      <c r="BH163" s="67"/>
      <c r="BI163" s="67"/>
      <c r="BJ163" s="106"/>
    </row>
    <row r="164" spans="1:62" s="92" customFormat="1" x14ac:dyDescent="0.2">
      <c r="A164" s="67"/>
      <c r="B164" s="67"/>
      <c r="H164" s="67"/>
      <c r="Y164" s="67"/>
      <c r="BF164" s="67"/>
      <c r="BG164" s="67"/>
      <c r="BH164" s="67"/>
      <c r="BI164" s="67"/>
      <c r="BJ164" s="106"/>
    </row>
    <row r="165" spans="1:62" s="92" customFormat="1" x14ac:dyDescent="0.2">
      <c r="A165" s="67"/>
      <c r="B165" s="67"/>
      <c r="H165" s="67"/>
      <c r="Y165" s="67"/>
      <c r="BF165" s="67"/>
      <c r="BG165" s="67"/>
      <c r="BH165" s="67"/>
      <c r="BI165" s="67"/>
      <c r="BJ165" s="106"/>
    </row>
    <row r="166" spans="1:62" s="92" customFormat="1" x14ac:dyDescent="0.2">
      <c r="A166" s="67"/>
      <c r="B166" s="67"/>
      <c r="H166" s="67"/>
      <c r="Y166" s="67"/>
      <c r="BF166" s="67"/>
      <c r="BG166" s="67"/>
      <c r="BH166" s="67"/>
      <c r="BI166" s="67"/>
      <c r="BJ166" s="106"/>
    </row>
    <row r="167" spans="1:62" s="92" customFormat="1" x14ac:dyDescent="0.2">
      <c r="A167" s="67"/>
      <c r="B167" s="67"/>
      <c r="H167" s="67"/>
      <c r="Y167" s="67"/>
      <c r="BF167" s="67"/>
      <c r="BG167" s="67"/>
      <c r="BH167" s="67"/>
      <c r="BI167" s="67"/>
      <c r="BJ167" s="106"/>
    </row>
    <row r="168" spans="1:62" s="92" customFormat="1" x14ac:dyDescent="0.2">
      <c r="A168" s="67"/>
      <c r="B168" s="67"/>
      <c r="H168" s="67"/>
      <c r="Y168" s="67"/>
      <c r="BF168" s="67"/>
      <c r="BG168" s="67"/>
      <c r="BH168" s="67"/>
      <c r="BI168" s="67"/>
      <c r="BJ168" s="106"/>
    </row>
    <row r="169" spans="1:62" s="92" customFormat="1" x14ac:dyDescent="0.2">
      <c r="A169" s="67"/>
      <c r="B169" s="67"/>
      <c r="H169" s="67"/>
      <c r="Y169" s="67"/>
      <c r="BF169" s="67"/>
      <c r="BG169" s="67"/>
      <c r="BH169" s="67"/>
      <c r="BI169" s="67"/>
      <c r="BJ169" s="106"/>
    </row>
    <row r="170" spans="1:62" s="92" customFormat="1" x14ac:dyDescent="0.2">
      <c r="A170" s="67"/>
      <c r="B170" s="67"/>
      <c r="H170" s="67"/>
      <c r="Y170" s="67"/>
      <c r="BF170" s="67"/>
      <c r="BG170" s="67"/>
      <c r="BH170" s="67"/>
      <c r="BI170" s="67"/>
      <c r="BJ170" s="106"/>
    </row>
    <row r="171" spans="1:62" s="92" customFormat="1" x14ac:dyDescent="0.2">
      <c r="A171" s="67"/>
      <c r="B171" s="67"/>
      <c r="H171" s="67"/>
      <c r="Y171" s="67"/>
      <c r="BF171" s="67"/>
      <c r="BG171" s="67"/>
      <c r="BH171" s="67"/>
      <c r="BI171" s="67"/>
      <c r="BJ171" s="106"/>
    </row>
    <row r="172" spans="1:62" s="92" customFormat="1" x14ac:dyDescent="0.2">
      <c r="A172" s="67"/>
      <c r="B172" s="67"/>
      <c r="H172" s="67"/>
      <c r="Y172" s="67"/>
      <c r="BF172" s="67"/>
      <c r="BG172" s="67"/>
      <c r="BH172" s="67"/>
      <c r="BI172" s="67"/>
      <c r="BJ172" s="106"/>
    </row>
    <row r="173" spans="1:62" s="92" customFormat="1" x14ac:dyDescent="0.2">
      <c r="A173" s="67"/>
      <c r="B173" s="67"/>
      <c r="H173" s="67"/>
      <c r="Y173" s="67"/>
      <c r="BF173" s="67"/>
      <c r="BG173" s="67"/>
      <c r="BH173" s="67"/>
      <c r="BI173" s="67"/>
      <c r="BJ173" s="106"/>
    </row>
    <row r="174" spans="1:62" s="92" customFormat="1" x14ac:dyDescent="0.2">
      <c r="A174" s="67"/>
      <c r="B174" s="67"/>
      <c r="H174" s="67"/>
      <c r="Y174" s="67"/>
      <c r="BF174" s="67"/>
      <c r="BG174" s="67"/>
      <c r="BH174" s="67"/>
      <c r="BI174" s="67"/>
      <c r="BJ174" s="106"/>
    </row>
    <row r="175" spans="1:62" s="92" customFormat="1" x14ac:dyDescent="0.2">
      <c r="A175" s="67"/>
      <c r="B175" s="67"/>
      <c r="H175" s="67"/>
      <c r="Y175" s="67"/>
      <c r="BF175" s="67"/>
      <c r="BG175" s="67"/>
      <c r="BH175" s="67"/>
      <c r="BI175" s="67"/>
      <c r="BJ175" s="106"/>
    </row>
    <row r="176" spans="1:62" s="92" customFormat="1" x14ac:dyDescent="0.2">
      <c r="A176" s="67"/>
      <c r="B176" s="67"/>
      <c r="H176" s="67"/>
      <c r="Y176" s="67"/>
      <c r="BF176" s="67"/>
      <c r="BG176" s="67"/>
      <c r="BH176" s="67"/>
      <c r="BI176" s="67"/>
      <c r="BJ176" s="106"/>
    </row>
    <row r="177" spans="1:62" s="92" customFormat="1" x14ac:dyDescent="0.2">
      <c r="A177" s="67"/>
      <c r="B177" s="67"/>
      <c r="H177" s="67"/>
      <c r="Y177" s="67"/>
      <c r="BF177" s="67"/>
      <c r="BG177" s="67"/>
      <c r="BH177" s="67"/>
      <c r="BI177" s="67"/>
      <c r="BJ177" s="106"/>
    </row>
    <row r="178" spans="1:62" s="92" customFormat="1" x14ac:dyDescent="0.2">
      <c r="A178" s="67"/>
      <c r="B178" s="67"/>
      <c r="H178" s="67"/>
      <c r="Y178" s="67"/>
      <c r="BF178" s="67"/>
      <c r="BG178" s="67"/>
      <c r="BH178" s="67"/>
      <c r="BI178" s="67"/>
      <c r="BJ178" s="106"/>
    </row>
    <row r="179" spans="1:62" s="92" customFormat="1" x14ac:dyDescent="0.2">
      <c r="A179" s="67"/>
      <c r="B179" s="67"/>
      <c r="H179" s="67"/>
      <c r="Y179" s="67"/>
      <c r="BF179" s="67"/>
      <c r="BG179" s="67"/>
      <c r="BH179" s="67"/>
      <c r="BI179" s="67"/>
      <c r="BJ179" s="106"/>
    </row>
    <row r="180" spans="1:62" s="92" customFormat="1" x14ac:dyDescent="0.2">
      <c r="A180" s="67"/>
      <c r="B180" s="67"/>
      <c r="H180" s="67"/>
      <c r="Y180" s="67"/>
      <c r="BF180" s="67"/>
      <c r="BG180" s="67"/>
      <c r="BH180" s="67"/>
      <c r="BI180" s="67"/>
      <c r="BJ180" s="106"/>
    </row>
    <row r="181" spans="1:62" s="92" customFormat="1" x14ac:dyDescent="0.2">
      <c r="A181" s="67"/>
      <c r="B181" s="67"/>
      <c r="H181" s="67"/>
      <c r="Y181" s="67"/>
      <c r="BF181" s="67"/>
      <c r="BG181" s="67"/>
      <c r="BH181" s="67"/>
      <c r="BI181" s="67"/>
      <c r="BJ181" s="106"/>
    </row>
    <row r="182" spans="1:62" s="92" customFormat="1" x14ac:dyDescent="0.2">
      <c r="A182" s="67"/>
      <c r="B182" s="67"/>
      <c r="H182" s="67"/>
      <c r="Y182" s="67"/>
      <c r="BF182" s="67"/>
      <c r="BG182" s="67"/>
      <c r="BH182" s="67"/>
      <c r="BI182" s="67"/>
      <c r="BJ182" s="106"/>
    </row>
    <row r="183" spans="1:62" s="92" customFormat="1" x14ac:dyDescent="0.2">
      <c r="A183" s="67"/>
      <c r="B183" s="67"/>
      <c r="H183" s="67"/>
      <c r="Y183" s="67"/>
      <c r="BF183" s="67"/>
      <c r="BG183" s="67"/>
      <c r="BH183" s="67"/>
      <c r="BI183" s="67"/>
      <c r="BJ183" s="106"/>
    </row>
    <row r="184" spans="1:62" s="92" customFormat="1" x14ac:dyDescent="0.2">
      <c r="A184" s="67"/>
      <c r="B184" s="67"/>
      <c r="H184" s="67"/>
      <c r="Y184" s="67"/>
      <c r="BF184" s="67"/>
      <c r="BG184" s="67"/>
      <c r="BH184" s="67"/>
      <c r="BI184" s="67"/>
      <c r="BJ184" s="106"/>
    </row>
    <row r="185" spans="1:62" s="92" customFormat="1" x14ac:dyDescent="0.2">
      <c r="A185" s="67"/>
      <c r="B185" s="67"/>
      <c r="H185" s="67"/>
      <c r="Y185" s="67"/>
      <c r="BF185" s="67"/>
      <c r="BG185" s="67"/>
      <c r="BH185" s="67"/>
      <c r="BI185" s="67"/>
      <c r="BJ185" s="106"/>
    </row>
    <row r="186" spans="1:62" s="92" customFormat="1" x14ac:dyDescent="0.2">
      <c r="A186" s="67"/>
      <c r="B186" s="67"/>
      <c r="H186" s="67"/>
      <c r="Y186" s="67"/>
      <c r="BF186" s="67"/>
      <c r="BG186" s="67"/>
      <c r="BH186" s="67"/>
      <c r="BI186" s="67"/>
      <c r="BJ186" s="106"/>
    </row>
    <row r="187" spans="1:62" s="92" customFormat="1" x14ac:dyDescent="0.2">
      <c r="A187" s="67"/>
      <c r="B187" s="67"/>
      <c r="H187" s="67"/>
      <c r="Y187" s="67"/>
      <c r="BF187" s="67"/>
      <c r="BG187" s="67"/>
      <c r="BH187" s="67"/>
      <c r="BI187" s="67"/>
      <c r="BJ187" s="106"/>
    </row>
    <row r="188" spans="1:62" s="92" customFormat="1" x14ac:dyDescent="0.2">
      <c r="A188" s="67"/>
      <c r="B188" s="67"/>
      <c r="H188" s="67"/>
      <c r="Y188" s="67"/>
      <c r="BF188" s="67"/>
      <c r="BG188" s="67"/>
      <c r="BH188" s="67"/>
      <c r="BI188" s="67"/>
      <c r="BJ188" s="106"/>
    </row>
    <row r="189" spans="1:62" s="92" customFormat="1" x14ac:dyDescent="0.2">
      <c r="A189" s="67"/>
      <c r="B189" s="67"/>
      <c r="H189" s="67"/>
      <c r="Y189" s="67"/>
      <c r="BF189" s="67"/>
      <c r="BG189" s="67"/>
      <c r="BH189" s="67"/>
      <c r="BI189" s="67"/>
      <c r="BJ189" s="106"/>
    </row>
    <row r="190" spans="1:62" s="92" customFormat="1" x14ac:dyDescent="0.2">
      <c r="A190" s="67"/>
      <c r="B190" s="67"/>
      <c r="H190" s="67"/>
      <c r="Y190" s="67"/>
      <c r="BF190" s="67"/>
      <c r="BG190" s="67"/>
      <c r="BH190" s="67"/>
      <c r="BI190" s="67"/>
      <c r="BJ190" s="106"/>
    </row>
    <row r="191" spans="1:62" s="92" customFormat="1" x14ac:dyDescent="0.2">
      <c r="A191" s="67"/>
      <c r="B191" s="67"/>
      <c r="H191" s="67"/>
      <c r="Y191" s="67"/>
      <c r="BF191" s="67"/>
      <c r="BG191" s="67"/>
      <c r="BH191" s="67"/>
      <c r="BI191" s="67"/>
      <c r="BJ191" s="106"/>
    </row>
    <row r="192" spans="1:62" s="92" customFormat="1" x14ac:dyDescent="0.2">
      <c r="A192" s="67"/>
      <c r="B192" s="67"/>
      <c r="H192" s="67"/>
      <c r="Y192" s="67"/>
      <c r="BF192" s="67"/>
      <c r="BG192" s="67"/>
      <c r="BH192" s="67"/>
      <c r="BI192" s="67"/>
      <c r="BJ192" s="106"/>
    </row>
    <row r="193" spans="1:62" s="92" customFormat="1" x14ac:dyDescent="0.2">
      <c r="A193" s="67"/>
      <c r="B193" s="67"/>
      <c r="H193" s="67"/>
      <c r="Y193" s="67"/>
      <c r="BF193" s="67"/>
      <c r="BG193" s="67"/>
      <c r="BH193" s="67"/>
      <c r="BI193" s="67"/>
      <c r="BJ193" s="106"/>
    </row>
    <row r="194" spans="1:62" s="92" customFormat="1" x14ac:dyDescent="0.2">
      <c r="A194" s="67"/>
      <c r="B194" s="67"/>
      <c r="H194" s="67"/>
      <c r="Y194" s="67"/>
      <c r="BF194" s="67"/>
      <c r="BG194" s="67"/>
      <c r="BH194" s="67"/>
      <c r="BI194" s="67"/>
      <c r="BJ194" s="106"/>
    </row>
    <row r="195" spans="1:62" s="92" customFormat="1" x14ac:dyDescent="0.2">
      <c r="A195" s="67"/>
      <c r="B195" s="67"/>
      <c r="H195" s="67"/>
      <c r="Y195" s="67"/>
      <c r="BF195" s="67"/>
      <c r="BG195" s="67"/>
      <c r="BH195" s="67"/>
      <c r="BI195" s="67"/>
      <c r="BJ195" s="106"/>
    </row>
    <row r="196" spans="1:62" s="92" customFormat="1" x14ac:dyDescent="0.2">
      <c r="A196" s="67"/>
      <c r="B196" s="67"/>
      <c r="H196" s="67"/>
      <c r="Y196" s="67"/>
      <c r="BF196" s="67"/>
      <c r="BG196" s="67"/>
      <c r="BH196" s="67"/>
      <c r="BI196" s="67"/>
      <c r="BJ196" s="106"/>
    </row>
    <row r="197" spans="1:62" s="92" customFormat="1" x14ac:dyDescent="0.2">
      <c r="A197" s="67"/>
      <c r="B197" s="67"/>
      <c r="H197" s="67"/>
      <c r="Y197" s="67"/>
      <c r="BF197" s="67"/>
      <c r="BG197" s="67"/>
      <c r="BH197" s="67"/>
      <c r="BI197" s="67"/>
      <c r="BJ197" s="106"/>
    </row>
    <row r="198" spans="1:62" s="92" customFormat="1" x14ac:dyDescent="0.2">
      <c r="A198" s="67"/>
      <c r="B198" s="67"/>
      <c r="H198" s="67"/>
      <c r="Y198" s="67"/>
      <c r="BF198" s="67"/>
      <c r="BG198" s="67"/>
      <c r="BH198" s="67"/>
      <c r="BI198" s="67"/>
      <c r="BJ198" s="106"/>
    </row>
    <row r="199" spans="1:62" s="92" customFormat="1" x14ac:dyDescent="0.2">
      <c r="A199" s="67"/>
      <c r="B199" s="67"/>
      <c r="H199" s="67"/>
      <c r="Y199" s="67"/>
      <c r="BF199" s="67"/>
      <c r="BG199" s="67"/>
      <c r="BH199" s="67"/>
      <c r="BI199" s="67"/>
      <c r="BJ199" s="106"/>
    </row>
    <row r="200" spans="1:62" s="92" customFormat="1" x14ac:dyDescent="0.2">
      <c r="A200" s="67"/>
      <c r="B200" s="67"/>
      <c r="H200" s="67"/>
      <c r="Y200" s="67"/>
      <c r="BF200" s="67"/>
      <c r="BG200" s="67"/>
      <c r="BH200" s="67"/>
      <c r="BI200" s="67"/>
      <c r="BJ200" s="106"/>
    </row>
    <row r="201" spans="1:62" s="92" customFormat="1" x14ac:dyDescent="0.2">
      <c r="A201" s="67"/>
      <c r="B201" s="67"/>
      <c r="H201" s="67"/>
      <c r="Y201" s="67"/>
      <c r="BF201" s="67"/>
      <c r="BG201" s="67"/>
      <c r="BH201" s="67"/>
      <c r="BI201" s="67"/>
      <c r="BJ201" s="106"/>
    </row>
    <row r="202" spans="1:62" s="92" customFormat="1" x14ac:dyDescent="0.2">
      <c r="A202" s="67"/>
      <c r="B202" s="67"/>
      <c r="H202" s="67"/>
      <c r="Y202" s="67"/>
      <c r="BF202" s="67"/>
      <c r="BG202" s="67"/>
      <c r="BH202" s="67"/>
      <c r="BI202" s="67"/>
      <c r="BJ202" s="106"/>
    </row>
    <row r="203" spans="1:62" s="92" customFormat="1" x14ac:dyDescent="0.2">
      <c r="A203" s="67"/>
      <c r="B203" s="67"/>
      <c r="H203" s="67"/>
      <c r="Y203" s="67"/>
      <c r="BF203" s="67"/>
      <c r="BG203" s="67"/>
      <c r="BH203" s="67"/>
      <c r="BI203" s="67"/>
      <c r="BJ203" s="106"/>
    </row>
    <row r="204" spans="1:62" s="92" customFormat="1" x14ac:dyDescent="0.2">
      <c r="A204" s="67"/>
      <c r="B204" s="67"/>
      <c r="H204" s="67"/>
      <c r="Y204" s="67"/>
      <c r="BF204" s="67"/>
      <c r="BG204" s="67"/>
      <c r="BH204" s="67"/>
      <c r="BI204" s="67"/>
      <c r="BJ204" s="106"/>
    </row>
    <row r="205" spans="1:62" s="92" customFormat="1" x14ac:dyDescent="0.2">
      <c r="A205" s="67"/>
      <c r="B205" s="67"/>
      <c r="H205" s="67"/>
      <c r="Y205" s="67"/>
      <c r="BF205" s="67"/>
      <c r="BG205" s="67"/>
      <c r="BH205" s="67"/>
      <c r="BI205" s="67"/>
      <c r="BJ205" s="106"/>
    </row>
    <row r="206" spans="1:62" s="92" customFormat="1" x14ac:dyDescent="0.2">
      <c r="A206" s="67"/>
      <c r="B206" s="67"/>
      <c r="H206" s="67"/>
      <c r="Y206" s="67"/>
      <c r="BF206" s="67"/>
      <c r="BG206" s="67"/>
      <c r="BH206" s="67"/>
      <c r="BI206" s="67"/>
      <c r="BJ206" s="106"/>
    </row>
    <row r="207" spans="1:62" s="92" customFormat="1" x14ac:dyDescent="0.2">
      <c r="A207" s="67"/>
      <c r="B207" s="67"/>
      <c r="H207" s="67"/>
      <c r="Y207" s="67"/>
      <c r="BF207" s="67"/>
      <c r="BG207" s="67"/>
      <c r="BH207" s="67"/>
      <c r="BI207" s="67"/>
      <c r="BJ207" s="106"/>
    </row>
    <row r="208" spans="1:62" s="92" customFormat="1" x14ac:dyDescent="0.2">
      <c r="A208" s="67"/>
      <c r="B208" s="67"/>
      <c r="H208" s="67"/>
      <c r="Y208" s="67"/>
      <c r="BF208" s="67"/>
      <c r="BG208" s="67"/>
      <c r="BH208" s="67"/>
      <c r="BI208" s="67"/>
      <c r="BJ208" s="106"/>
    </row>
    <row r="209" spans="1:62" s="92" customFormat="1" x14ac:dyDescent="0.2">
      <c r="A209" s="67"/>
      <c r="B209" s="67"/>
      <c r="H209" s="67"/>
      <c r="Y209" s="67"/>
      <c r="BF209" s="67"/>
      <c r="BG209" s="67"/>
      <c r="BH209" s="67"/>
      <c r="BI209" s="67"/>
      <c r="BJ209" s="106"/>
    </row>
    <row r="210" spans="1:62" s="92" customFormat="1" x14ac:dyDescent="0.2">
      <c r="A210" s="67"/>
      <c r="B210" s="67"/>
      <c r="H210" s="67"/>
      <c r="Y210" s="67"/>
      <c r="BF210" s="67"/>
      <c r="BG210" s="67"/>
      <c r="BH210" s="67"/>
      <c r="BI210" s="67"/>
      <c r="BJ210" s="106"/>
    </row>
    <row r="211" spans="1:62" s="92" customFormat="1" x14ac:dyDescent="0.2">
      <c r="A211" s="67"/>
      <c r="B211" s="67"/>
      <c r="H211" s="67"/>
      <c r="Y211" s="67"/>
      <c r="BF211" s="67"/>
      <c r="BG211" s="67"/>
      <c r="BH211" s="67"/>
      <c r="BI211" s="67"/>
      <c r="BJ211" s="106"/>
    </row>
    <row r="212" spans="1:62" s="92" customFormat="1" x14ac:dyDescent="0.2">
      <c r="A212" s="67"/>
      <c r="B212" s="67"/>
      <c r="H212" s="67"/>
      <c r="Y212" s="67"/>
      <c r="BF212" s="67"/>
      <c r="BG212" s="67"/>
      <c r="BH212" s="67"/>
      <c r="BI212" s="67"/>
      <c r="BJ212" s="106"/>
    </row>
    <row r="213" spans="1:62" s="92" customFormat="1" x14ac:dyDescent="0.2">
      <c r="A213" s="67"/>
      <c r="B213" s="67"/>
      <c r="H213" s="67"/>
      <c r="Y213" s="67"/>
      <c r="BF213" s="67"/>
      <c r="BG213" s="67"/>
      <c r="BH213" s="67"/>
      <c r="BI213" s="67"/>
      <c r="BJ213" s="106"/>
    </row>
    <row r="214" spans="1:62" s="92" customFormat="1" x14ac:dyDescent="0.2">
      <c r="A214" s="67"/>
      <c r="B214" s="67"/>
      <c r="H214" s="67"/>
      <c r="Y214" s="67"/>
      <c r="BF214" s="67"/>
      <c r="BG214" s="67"/>
      <c r="BH214" s="67"/>
      <c r="BI214" s="67"/>
      <c r="BJ214" s="106"/>
    </row>
    <row r="215" spans="1:62" s="92" customFormat="1" x14ac:dyDescent="0.2">
      <c r="A215" s="67"/>
      <c r="B215" s="67"/>
      <c r="H215" s="67"/>
      <c r="Y215" s="67"/>
      <c r="BF215" s="67"/>
      <c r="BG215" s="67"/>
      <c r="BH215" s="67"/>
      <c r="BI215" s="67"/>
      <c r="BJ215" s="106"/>
    </row>
    <row r="216" spans="1:62" s="92" customFormat="1" x14ac:dyDescent="0.2">
      <c r="A216" s="67"/>
      <c r="B216" s="67"/>
      <c r="H216" s="67"/>
      <c r="Y216" s="67"/>
      <c r="BF216" s="67"/>
      <c r="BG216" s="67"/>
      <c r="BH216" s="67"/>
      <c r="BI216" s="67"/>
      <c r="BJ216" s="106"/>
    </row>
    <row r="217" spans="1:62" s="92" customFormat="1" x14ac:dyDescent="0.2">
      <c r="A217" s="67"/>
      <c r="B217" s="67"/>
      <c r="H217" s="67"/>
      <c r="Y217" s="67"/>
      <c r="BF217" s="67"/>
      <c r="BG217" s="67"/>
      <c r="BH217" s="67"/>
      <c r="BI217" s="67"/>
      <c r="BJ217" s="106"/>
    </row>
    <row r="218" spans="1:62" s="92" customFormat="1" x14ac:dyDescent="0.2">
      <c r="A218" s="67"/>
      <c r="B218" s="67"/>
      <c r="H218" s="67"/>
      <c r="Y218" s="67"/>
      <c r="BF218" s="67"/>
      <c r="BG218" s="67"/>
      <c r="BH218" s="67"/>
      <c r="BI218" s="67"/>
      <c r="BJ218" s="106"/>
    </row>
    <row r="219" spans="1:62" s="92" customFormat="1" x14ac:dyDescent="0.2">
      <c r="A219" s="67"/>
      <c r="B219" s="67"/>
      <c r="H219" s="67"/>
      <c r="Y219" s="67"/>
      <c r="BF219" s="67"/>
      <c r="BG219" s="67"/>
      <c r="BH219" s="67"/>
      <c r="BI219" s="67"/>
      <c r="BJ219" s="106"/>
    </row>
    <row r="220" spans="1:62" s="92" customFormat="1" x14ac:dyDescent="0.2">
      <c r="A220" s="67"/>
      <c r="B220" s="67"/>
      <c r="H220" s="67"/>
      <c r="Y220" s="67"/>
      <c r="BF220" s="67"/>
      <c r="BG220" s="67"/>
      <c r="BH220" s="67"/>
      <c r="BI220" s="67"/>
      <c r="BJ220" s="106"/>
    </row>
    <row r="221" spans="1:62" s="92" customFormat="1" x14ac:dyDescent="0.2">
      <c r="A221" s="67"/>
      <c r="B221" s="67"/>
      <c r="H221" s="67"/>
      <c r="Y221" s="67"/>
      <c r="BF221" s="67"/>
      <c r="BG221" s="67"/>
      <c r="BH221" s="67"/>
      <c r="BI221" s="67"/>
      <c r="BJ221" s="106"/>
    </row>
    <row r="222" spans="1:62" s="92" customFormat="1" x14ac:dyDescent="0.2">
      <c r="A222" s="67"/>
      <c r="B222" s="67"/>
      <c r="H222" s="67"/>
      <c r="Y222" s="67"/>
      <c r="BF222" s="67"/>
      <c r="BG222" s="67"/>
      <c r="BH222" s="67"/>
      <c r="BI222" s="67"/>
      <c r="BJ222" s="106"/>
    </row>
    <row r="223" spans="1:62" s="92" customFormat="1" x14ac:dyDescent="0.2">
      <c r="A223" s="67"/>
      <c r="B223" s="67"/>
      <c r="H223" s="67"/>
      <c r="Y223" s="67"/>
      <c r="BF223" s="67"/>
      <c r="BG223" s="67"/>
      <c r="BH223" s="67"/>
      <c r="BI223" s="67"/>
      <c r="BJ223" s="106"/>
    </row>
    <row r="224" spans="1:62" s="92" customFormat="1" x14ac:dyDescent="0.2">
      <c r="A224" s="67"/>
      <c r="B224" s="67"/>
      <c r="H224" s="67"/>
      <c r="Y224" s="67"/>
      <c r="BF224" s="67"/>
      <c r="BG224" s="67"/>
      <c r="BH224" s="67"/>
      <c r="BI224" s="67"/>
      <c r="BJ224" s="106"/>
    </row>
    <row r="225" spans="1:62" s="92" customFormat="1" x14ac:dyDescent="0.2">
      <c r="A225" s="67"/>
      <c r="B225" s="67"/>
      <c r="H225" s="67"/>
      <c r="Y225" s="67"/>
      <c r="BF225" s="67"/>
      <c r="BG225" s="67"/>
      <c r="BH225" s="67"/>
      <c r="BI225" s="67"/>
      <c r="BJ225" s="106"/>
    </row>
    <row r="226" spans="1:62" s="92" customFormat="1" x14ac:dyDescent="0.2">
      <c r="A226" s="67"/>
      <c r="B226" s="67"/>
      <c r="H226" s="67"/>
      <c r="Y226" s="67"/>
      <c r="BF226" s="67"/>
      <c r="BG226" s="67"/>
      <c r="BH226" s="67"/>
      <c r="BI226" s="67"/>
      <c r="BJ226" s="106"/>
    </row>
    <row r="227" spans="1:62" s="92" customFormat="1" x14ac:dyDescent="0.2">
      <c r="A227" s="67"/>
      <c r="B227" s="67"/>
      <c r="H227" s="67"/>
      <c r="Y227" s="67"/>
      <c r="BF227" s="67"/>
      <c r="BG227" s="67"/>
      <c r="BH227" s="67"/>
      <c r="BI227" s="67"/>
      <c r="BJ227" s="106"/>
    </row>
    <row r="228" spans="1:62" s="92" customFormat="1" x14ac:dyDescent="0.2">
      <c r="A228" s="67"/>
      <c r="B228" s="67"/>
      <c r="H228" s="67"/>
      <c r="Y228" s="67"/>
      <c r="BF228" s="67"/>
      <c r="BG228" s="67"/>
      <c r="BH228" s="67"/>
      <c r="BI228" s="67"/>
      <c r="BJ228" s="106"/>
    </row>
    <row r="229" spans="1:62" s="92" customFormat="1" x14ac:dyDescent="0.2">
      <c r="A229" s="67"/>
      <c r="B229" s="67"/>
      <c r="H229" s="67"/>
      <c r="Y229" s="67"/>
      <c r="BF229" s="67"/>
      <c r="BG229" s="67"/>
      <c r="BH229" s="67"/>
      <c r="BI229" s="67"/>
      <c r="BJ229" s="106"/>
    </row>
    <row r="230" spans="1:62" s="92" customFormat="1" x14ac:dyDescent="0.2">
      <c r="A230" s="67"/>
      <c r="B230" s="67"/>
      <c r="H230" s="67"/>
      <c r="Y230" s="67"/>
      <c r="BF230" s="67"/>
      <c r="BG230" s="67"/>
      <c r="BH230" s="67"/>
      <c r="BI230" s="67"/>
      <c r="BJ230" s="106"/>
    </row>
    <row r="231" spans="1:62" s="92" customFormat="1" x14ac:dyDescent="0.2">
      <c r="A231" s="67"/>
      <c r="B231" s="67"/>
      <c r="H231" s="67"/>
      <c r="Y231" s="67"/>
      <c r="BF231" s="67"/>
      <c r="BG231" s="67"/>
      <c r="BH231" s="67"/>
      <c r="BI231" s="67"/>
      <c r="BJ231" s="106"/>
    </row>
    <row r="232" spans="1:62" s="92" customFormat="1" x14ac:dyDescent="0.2">
      <c r="A232" s="67"/>
      <c r="B232" s="67"/>
      <c r="H232" s="67"/>
      <c r="Y232" s="67"/>
      <c r="BF232" s="67"/>
      <c r="BG232" s="67"/>
      <c r="BH232" s="67"/>
      <c r="BI232" s="67"/>
      <c r="BJ232" s="106"/>
    </row>
    <row r="233" spans="1:62" s="92" customFormat="1" x14ac:dyDescent="0.2">
      <c r="A233" s="67"/>
      <c r="B233" s="67"/>
      <c r="H233" s="67"/>
      <c r="Y233" s="67"/>
      <c r="BF233" s="67"/>
      <c r="BG233" s="67"/>
      <c r="BH233" s="67"/>
      <c r="BI233" s="67"/>
      <c r="BJ233" s="106"/>
    </row>
    <row r="234" spans="1:62" s="92" customFormat="1" x14ac:dyDescent="0.2">
      <c r="A234" s="67"/>
      <c r="B234" s="67"/>
      <c r="H234" s="67"/>
      <c r="Y234" s="67"/>
      <c r="BF234" s="67"/>
      <c r="BG234" s="67"/>
      <c r="BH234" s="67"/>
      <c r="BI234" s="67"/>
      <c r="BJ234" s="106"/>
    </row>
    <row r="235" spans="1:62" s="92" customFormat="1" x14ac:dyDescent="0.2">
      <c r="A235" s="67"/>
      <c r="B235" s="67"/>
      <c r="H235" s="67"/>
      <c r="Y235" s="67"/>
      <c r="BF235" s="67"/>
      <c r="BG235" s="67"/>
      <c r="BH235" s="67"/>
      <c r="BI235" s="67"/>
      <c r="BJ235" s="106"/>
    </row>
    <row r="236" spans="1:62" s="92" customFormat="1" x14ac:dyDescent="0.2">
      <c r="A236" s="67"/>
      <c r="B236" s="67"/>
      <c r="H236" s="67"/>
      <c r="Y236" s="67"/>
      <c r="BF236" s="67"/>
      <c r="BG236" s="67"/>
      <c r="BH236" s="67"/>
      <c r="BI236" s="67"/>
      <c r="BJ236" s="106"/>
    </row>
    <row r="237" spans="1:62" s="92" customFormat="1" x14ac:dyDescent="0.2">
      <c r="A237" s="67"/>
      <c r="B237" s="67"/>
      <c r="H237" s="67"/>
      <c r="Y237" s="67"/>
      <c r="BF237" s="67"/>
      <c r="BG237" s="67"/>
      <c r="BH237" s="67"/>
      <c r="BI237" s="67"/>
      <c r="BJ237" s="106"/>
    </row>
    <row r="238" spans="1:62" s="92" customFormat="1" x14ac:dyDescent="0.2">
      <c r="A238" s="67"/>
      <c r="B238" s="67"/>
      <c r="H238" s="67"/>
      <c r="Y238" s="67"/>
      <c r="BF238" s="67"/>
      <c r="BG238" s="67"/>
      <c r="BH238" s="67"/>
      <c r="BI238" s="67"/>
      <c r="BJ238" s="106"/>
    </row>
    <row r="239" spans="1:62" s="92" customFormat="1" x14ac:dyDescent="0.2">
      <c r="A239" s="67"/>
      <c r="B239" s="67"/>
      <c r="H239" s="67"/>
      <c r="Y239" s="67"/>
      <c r="BF239" s="67"/>
      <c r="BG239" s="67"/>
      <c r="BH239" s="67"/>
      <c r="BI239" s="67"/>
      <c r="BJ239" s="106"/>
    </row>
    <row r="240" spans="1:62" s="92" customFormat="1" x14ac:dyDescent="0.2">
      <c r="A240" s="67"/>
      <c r="B240" s="67"/>
      <c r="H240" s="67"/>
      <c r="Y240" s="67"/>
      <c r="BF240" s="67"/>
      <c r="BG240" s="67"/>
      <c r="BH240" s="67"/>
      <c r="BI240" s="67"/>
      <c r="BJ240" s="106"/>
    </row>
    <row r="241" spans="1:62" s="92" customFormat="1" x14ac:dyDescent="0.2">
      <c r="A241" s="67"/>
      <c r="B241" s="67"/>
      <c r="H241" s="67"/>
      <c r="Y241" s="67"/>
      <c r="BF241" s="67"/>
      <c r="BG241" s="67"/>
      <c r="BH241" s="67"/>
      <c r="BI241" s="67"/>
      <c r="BJ241" s="106"/>
    </row>
    <row r="242" spans="1:62" s="92" customFormat="1" x14ac:dyDescent="0.2">
      <c r="A242" s="67"/>
      <c r="B242" s="67"/>
      <c r="H242" s="67"/>
      <c r="Y242" s="67"/>
      <c r="BF242" s="67"/>
      <c r="BG242" s="67"/>
      <c r="BH242" s="67"/>
      <c r="BI242" s="67"/>
      <c r="BJ242" s="106"/>
    </row>
    <row r="243" spans="1:62" s="92" customFormat="1" x14ac:dyDescent="0.2">
      <c r="A243" s="67"/>
      <c r="B243" s="67"/>
      <c r="H243" s="67"/>
      <c r="Y243" s="67"/>
      <c r="BF243" s="67"/>
      <c r="BG243" s="67"/>
      <c r="BH243" s="67"/>
      <c r="BI243" s="67"/>
      <c r="BJ243" s="106"/>
    </row>
    <row r="244" spans="1:62" s="92" customFormat="1" x14ac:dyDescent="0.2">
      <c r="A244" s="67"/>
      <c r="B244" s="67"/>
      <c r="H244" s="67"/>
      <c r="Y244" s="67"/>
      <c r="BF244" s="67"/>
      <c r="BG244" s="67"/>
      <c r="BH244" s="67"/>
      <c r="BI244" s="67"/>
      <c r="BJ244" s="106"/>
    </row>
    <row r="245" spans="1:62" s="92" customFormat="1" x14ac:dyDescent="0.2">
      <c r="A245" s="67"/>
      <c r="B245" s="67"/>
      <c r="H245" s="67"/>
      <c r="Y245" s="67"/>
      <c r="BF245" s="67"/>
      <c r="BG245" s="67"/>
      <c r="BH245" s="67"/>
      <c r="BI245" s="67"/>
      <c r="BJ245" s="106"/>
    </row>
    <row r="246" spans="1:62" s="92" customFormat="1" x14ac:dyDescent="0.2">
      <c r="A246" s="67"/>
      <c r="B246" s="67"/>
      <c r="H246" s="67"/>
      <c r="Y246" s="67"/>
      <c r="BF246" s="67"/>
      <c r="BG246" s="67"/>
      <c r="BH246" s="67"/>
      <c r="BI246" s="67"/>
      <c r="BJ246" s="106"/>
    </row>
    <row r="247" spans="1:62" s="92" customFormat="1" x14ac:dyDescent="0.2">
      <c r="A247" s="67"/>
      <c r="B247" s="67"/>
      <c r="H247" s="67"/>
      <c r="Y247" s="67"/>
      <c r="BF247" s="67"/>
      <c r="BG247" s="67"/>
      <c r="BH247" s="67"/>
      <c r="BI247" s="67"/>
      <c r="BJ247" s="106"/>
    </row>
    <row r="248" spans="1:62" s="92" customFormat="1" x14ac:dyDescent="0.2">
      <c r="A248" s="67"/>
      <c r="B248" s="67"/>
      <c r="H248" s="67"/>
      <c r="Y248" s="67"/>
      <c r="BF248" s="67"/>
      <c r="BG248" s="67"/>
      <c r="BH248" s="67"/>
      <c r="BI248" s="67"/>
      <c r="BJ248" s="106"/>
    </row>
    <row r="249" spans="1:62" s="92" customFormat="1" x14ac:dyDescent="0.2">
      <c r="A249" s="67"/>
      <c r="B249" s="67"/>
      <c r="H249" s="67"/>
      <c r="Y249" s="67"/>
      <c r="BF249" s="67"/>
      <c r="BG249" s="67"/>
      <c r="BH249" s="67"/>
      <c r="BI249" s="67"/>
      <c r="BJ249" s="106"/>
    </row>
    <row r="250" spans="1:62" s="92" customFormat="1" x14ac:dyDescent="0.2">
      <c r="A250" s="67"/>
      <c r="B250" s="67"/>
      <c r="H250" s="67"/>
      <c r="Y250" s="67"/>
      <c r="BF250" s="67"/>
      <c r="BG250" s="67"/>
      <c r="BH250" s="67"/>
      <c r="BI250" s="67"/>
      <c r="BJ250" s="106"/>
    </row>
    <row r="251" spans="1:62" s="92" customFormat="1" x14ac:dyDescent="0.2">
      <c r="A251" s="67"/>
      <c r="B251" s="67"/>
      <c r="H251" s="67"/>
      <c r="Y251" s="67"/>
      <c r="BF251" s="67"/>
      <c r="BG251" s="67"/>
      <c r="BH251" s="67"/>
      <c r="BI251" s="67"/>
      <c r="BJ251" s="106"/>
    </row>
    <row r="252" spans="1:62" s="92" customFormat="1" x14ac:dyDescent="0.2">
      <c r="A252" s="67"/>
      <c r="B252" s="67"/>
      <c r="H252" s="67"/>
      <c r="Y252" s="67"/>
      <c r="BF252" s="67"/>
      <c r="BG252" s="67"/>
      <c r="BH252" s="67"/>
      <c r="BI252" s="67"/>
      <c r="BJ252" s="106"/>
    </row>
    <row r="253" spans="1:62" s="92" customFormat="1" x14ac:dyDescent="0.2">
      <c r="A253" s="67"/>
      <c r="B253" s="67"/>
      <c r="H253" s="67"/>
      <c r="Y253" s="67"/>
      <c r="BF253" s="67"/>
      <c r="BG253" s="67"/>
      <c r="BH253" s="67"/>
      <c r="BI253" s="67"/>
      <c r="BJ253" s="106"/>
    </row>
    <row r="254" spans="1:62" s="92" customFormat="1" x14ac:dyDescent="0.2">
      <c r="A254" s="67"/>
      <c r="B254" s="67"/>
      <c r="H254" s="67"/>
      <c r="Y254" s="67"/>
      <c r="BF254" s="67"/>
      <c r="BG254" s="67"/>
      <c r="BH254" s="67"/>
      <c r="BI254" s="67"/>
      <c r="BJ254" s="106"/>
    </row>
    <row r="255" spans="1:62" s="92" customFormat="1" x14ac:dyDescent="0.2">
      <c r="A255" s="67"/>
      <c r="B255" s="67"/>
      <c r="H255" s="67"/>
      <c r="Y255" s="67"/>
      <c r="BF255" s="67"/>
      <c r="BG255" s="67"/>
      <c r="BH255" s="67"/>
      <c r="BI255" s="67"/>
      <c r="BJ255" s="106"/>
    </row>
    <row r="256" spans="1:62" s="92" customFormat="1" x14ac:dyDescent="0.2">
      <c r="A256" s="67"/>
      <c r="B256" s="67"/>
      <c r="H256" s="67"/>
      <c r="Y256" s="67"/>
      <c r="BF256" s="67"/>
      <c r="BG256" s="67"/>
      <c r="BH256" s="67"/>
      <c r="BI256" s="67"/>
      <c r="BJ256" s="106"/>
    </row>
    <row r="257" spans="1:62" s="92" customFormat="1" x14ac:dyDescent="0.2">
      <c r="A257" s="67"/>
      <c r="B257" s="67"/>
      <c r="H257" s="67"/>
      <c r="Y257" s="67"/>
      <c r="BF257" s="67"/>
      <c r="BG257" s="67"/>
      <c r="BH257" s="67"/>
      <c r="BI257" s="67"/>
      <c r="BJ257" s="106"/>
    </row>
    <row r="258" spans="1:62" s="92" customFormat="1" x14ac:dyDescent="0.2">
      <c r="A258" s="67"/>
      <c r="B258" s="67"/>
      <c r="H258" s="67"/>
      <c r="Y258" s="67"/>
      <c r="BF258" s="67"/>
      <c r="BG258" s="67"/>
      <c r="BH258" s="67"/>
      <c r="BI258" s="67"/>
      <c r="BJ258" s="106"/>
    </row>
    <row r="259" spans="1:62" s="92" customFormat="1" x14ac:dyDescent="0.2">
      <c r="A259" s="67"/>
      <c r="B259" s="67"/>
      <c r="H259" s="67"/>
      <c r="Y259" s="67"/>
      <c r="BF259" s="67"/>
      <c r="BG259" s="67"/>
      <c r="BH259" s="67"/>
      <c r="BI259" s="67"/>
      <c r="BJ259" s="106"/>
    </row>
    <row r="260" spans="1:62" s="92" customFormat="1" x14ac:dyDescent="0.2">
      <c r="A260" s="67"/>
      <c r="B260" s="67"/>
      <c r="H260" s="67"/>
      <c r="Y260" s="67"/>
      <c r="BF260" s="67"/>
      <c r="BG260" s="67"/>
      <c r="BH260" s="67"/>
      <c r="BI260" s="67"/>
      <c r="BJ260" s="106"/>
    </row>
    <row r="261" spans="1:62" s="92" customFormat="1" x14ac:dyDescent="0.2">
      <c r="A261" s="67"/>
      <c r="B261" s="67"/>
      <c r="H261" s="67"/>
      <c r="Y261" s="67"/>
      <c r="BF261" s="67"/>
      <c r="BG261" s="67"/>
      <c r="BH261" s="67"/>
      <c r="BI261" s="67"/>
      <c r="BJ261" s="106"/>
    </row>
    <row r="262" spans="1:62" s="92" customFormat="1" x14ac:dyDescent="0.2">
      <c r="A262" s="67"/>
      <c r="B262" s="67"/>
      <c r="H262" s="67"/>
      <c r="Y262" s="67"/>
      <c r="BF262" s="67"/>
      <c r="BG262" s="67"/>
      <c r="BH262" s="67"/>
      <c r="BI262" s="67"/>
      <c r="BJ262" s="106"/>
    </row>
    <row r="263" spans="1:62" s="92" customFormat="1" x14ac:dyDescent="0.2">
      <c r="A263" s="67"/>
      <c r="B263" s="67"/>
      <c r="H263" s="67"/>
      <c r="Y263" s="67"/>
      <c r="BF263" s="67"/>
      <c r="BG263" s="67"/>
      <c r="BH263" s="67"/>
      <c r="BI263" s="67"/>
      <c r="BJ263" s="106"/>
    </row>
    <row r="264" spans="1:62" s="92" customFormat="1" x14ac:dyDescent="0.2">
      <c r="A264" s="67"/>
      <c r="B264" s="67"/>
      <c r="H264" s="67"/>
      <c r="Y264" s="67"/>
      <c r="BF264" s="67"/>
      <c r="BG264" s="67"/>
      <c r="BH264" s="67"/>
      <c r="BI264" s="67"/>
      <c r="BJ264" s="106"/>
    </row>
    <row r="265" spans="1:62" s="92" customFormat="1" x14ac:dyDescent="0.2">
      <c r="A265" s="67"/>
      <c r="B265" s="67"/>
      <c r="H265" s="67"/>
      <c r="Y265" s="67"/>
      <c r="BF265" s="67"/>
      <c r="BG265" s="67"/>
      <c r="BH265" s="67"/>
      <c r="BI265" s="67"/>
      <c r="BJ265" s="106"/>
    </row>
    <row r="266" spans="1:62" s="92" customFormat="1" x14ac:dyDescent="0.2">
      <c r="A266" s="67"/>
      <c r="B266" s="67"/>
      <c r="H266" s="67"/>
      <c r="Y266" s="67"/>
      <c r="BF266" s="67"/>
      <c r="BG266" s="67"/>
      <c r="BH266" s="67"/>
      <c r="BI266" s="67"/>
      <c r="BJ266" s="106"/>
    </row>
    <row r="267" spans="1:62" s="92" customFormat="1" x14ac:dyDescent="0.2">
      <c r="A267" s="67"/>
      <c r="B267" s="67"/>
      <c r="H267" s="67"/>
      <c r="Y267" s="67"/>
      <c r="BF267" s="67"/>
      <c r="BG267" s="67"/>
      <c r="BH267" s="67"/>
      <c r="BI267" s="67"/>
      <c r="BJ267" s="106"/>
    </row>
    <row r="268" spans="1:62" s="92" customFormat="1" x14ac:dyDescent="0.2">
      <c r="A268" s="67"/>
      <c r="B268" s="67"/>
      <c r="H268" s="67"/>
      <c r="Y268" s="67"/>
      <c r="BF268" s="67"/>
      <c r="BG268" s="67"/>
      <c r="BH268" s="67"/>
      <c r="BI268" s="67"/>
      <c r="BJ268" s="106"/>
    </row>
    <row r="269" spans="1:62" s="92" customFormat="1" x14ac:dyDescent="0.2">
      <c r="A269" s="67"/>
      <c r="B269" s="67"/>
      <c r="H269" s="67"/>
      <c r="Y269" s="67"/>
      <c r="BF269" s="67"/>
      <c r="BG269" s="67"/>
      <c r="BH269" s="67"/>
      <c r="BI269" s="67"/>
      <c r="BJ269" s="106"/>
    </row>
    <row r="270" spans="1:62" s="92" customFormat="1" x14ac:dyDescent="0.2">
      <c r="A270" s="67"/>
      <c r="B270" s="67"/>
      <c r="H270" s="67"/>
      <c r="Y270" s="67"/>
      <c r="BF270" s="67"/>
      <c r="BG270" s="67"/>
      <c r="BH270" s="67"/>
      <c r="BI270" s="67"/>
      <c r="BJ270" s="106"/>
    </row>
    <row r="271" spans="1:62" s="92" customFormat="1" x14ac:dyDescent="0.2">
      <c r="A271" s="67"/>
      <c r="B271" s="67"/>
      <c r="H271" s="67"/>
      <c r="Y271" s="67"/>
      <c r="BF271" s="67"/>
      <c r="BG271" s="67"/>
      <c r="BH271" s="67"/>
      <c r="BI271" s="67"/>
      <c r="BJ271" s="106"/>
    </row>
    <row r="272" spans="1:62" s="92" customFormat="1" x14ac:dyDescent="0.2">
      <c r="A272" s="67"/>
      <c r="B272" s="67"/>
      <c r="H272" s="67"/>
      <c r="Y272" s="67"/>
      <c r="BF272" s="67"/>
      <c r="BG272" s="67"/>
      <c r="BH272" s="67"/>
      <c r="BI272" s="67"/>
      <c r="BJ272" s="106"/>
    </row>
    <row r="273" spans="1:62" s="92" customFormat="1" x14ac:dyDescent="0.2">
      <c r="A273" s="67"/>
      <c r="B273" s="67"/>
      <c r="H273" s="67"/>
      <c r="Y273" s="67"/>
      <c r="BF273" s="67"/>
      <c r="BG273" s="67"/>
      <c r="BH273" s="67"/>
      <c r="BI273" s="67"/>
      <c r="BJ273" s="106"/>
    </row>
    <row r="274" spans="1:62" s="92" customFormat="1" x14ac:dyDescent="0.2">
      <c r="A274" s="67"/>
      <c r="B274" s="67"/>
      <c r="H274" s="67"/>
      <c r="Y274" s="67"/>
      <c r="BF274" s="67"/>
      <c r="BG274" s="67"/>
      <c r="BH274" s="67"/>
      <c r="BI274" s="67"/>
      <c r="BJ274" s="106"/>
    </row>
    <row r="275" spans="1:62" s="92" customFormat="1" x14ac:dyDescent="0.2">
      <c r="A275" s="67"/>
      <c r="B275" s="67"/>
      <c r="H275" s="67"/>
      <c r="Y275" s="67"/>
      <c r="BF275" s="67"/>
      <c r="BG275" s="67"/>
      <c r="BH275" s="67"/>
      <c r="BI275" s="67"/>
      <c r="BJ275" s="106"/>
    </row>
    <row r="276" spans="1:62" s="92" customFormat="1" x14ac:dyDescent="0.2">
      <c r="A276" s="67"/>
      <c r="B276" s="67"/>
      <c r="H276" s="67"/>
      <c r="Y276" s="67"/>
      <c r="BF276" s="67"/>
      <c r="BG276" s="67"/>
      <c r="BH276" s="67"/>
      <c r="BI276" s="67"/>
      <c r="BJ276" s="106"/>
    </row>
    <row r="277" spans="1:62" s="92" customFormat="1" x14ac:dyDescent="0.2">
      <c r="A277" s="67"/>
      <c r="B277" s="67"/>
      <c r="H277" s="67"/>
      <c r="Y277" s="67"/>
      <c r="BF277" s="67"/>
      <c r="BG277" s="67"/>
      <c r="BH277" s="67"/>
      <c r="BI277" s="67"/>
      <c r="BJ277" s="106"/>
    </row>
    <row r="278" spans="1:62" s="92" customFormat="1" x14ac:dyDescent="0.2">
      <c r="A278" s="67"/>
      <c r="B278" s="67"/>
      <c r="H278" s="67"/>
      <c r="Y278" s="67"/>
      <c r="BF278" s="67"/>
      <c r="BG278" s="67"/>
      <c r="BH278" s="67"/>
      <c r="BI278" s="67"/>
      <c r="BJ278" s="106"/>
    </row>
    <row r="279" spans="1:62" s="92" customFormat="1" x14ac:dyDescent="0.2">
      <c r="A279" s="67"/>
      <c r="B279" s="67"/>
      <c r="H279" s="67"/>
      <c r="Y279" s="67"/>
      <c r="BF279" s="67"/>
      <c r="BG279" s="67"/>
      <c r="BH279" s="67"/>
      <c r="BI279" s="67"/>
      <c r="BJ279" s="106"/>
    </row>
    <row r="280" spans="1:62" s="92" customFormat="1" x14ac:dyDescent="0.2">
      <c r="A280" s="67"/>
      <c r="B280" s="67"/>
      <c r="H280" s="67"/>
      <c r="Y280" s="67"/>
      <c r="BF280" s="67"/>
      <c r="BG280" s="67"/>
      <c r="BH280" s="67"/>
      <c r="BI280" s="67"/>
      <c r="BJ280" s="106"/>
    </row>
    <row r="281" spans="1:62" s="92" customFormat="1" x14ac:dyDescent="0.2">
      <c r="A281" s="67"/>
      <c r="B281" s="67"/>
      <c r="H281" s="67"/>
      <c r="Y281" s="67"/>
      <c r="BF281" s="67"/>
      <c r="BG281" s="67"/>
      <c r="BH281" s="67"/>
      <c r="BI281" s="67"/>
      <c r="BJ281" s="106"/>
    </row>
    <row r="282" spans="1:62" s="92" customFormat="1" x14ac:dyDescent="0.2">
      <c r="A282" s="67"/>
      <c r="B282" s="67"/>
      <c r="H282" s="67"/>
      <c r="Y282" s="67"/>
      <c r="BF282" s="67"/>
      <c r="BG282" s="67"/>
      <c r="BH282" s="67"/>
      <c r="BI282" s="67"/>
      <c r="BJ282" s="106"/>
    </row>
    <row r="283" spans="1:62" s="92" customFormat="1" x14ac:dyDescent="0.2">
      <c r="A283" s="67"/>
      <c r="B283" s="67"/>
      <c r="H283" s="67"/>
      <c r="Y283" s="67"/>
      <c r="BF283" s="67"/>
      <c r="BG283" s="67"/>
      <c r="BH283" s="67"/>
      <c r="BI283" s="67"/>
      <c r="BJ283" s="106"/>
    </row>
    <row r="284" spans="1:62" s="92" customFormat="1" x14ac:dyDescent="0.2">
      <c r="A284" s="67"/>
      <c r="B284" s="67"/>
      <c r="H284" s="67"/>
      <c r="Y284" s="67"/>
      <c r="BF284" s="67"/>
      <c r="BG284" s="67"/>
      <c r="BH284" s="67"/>
      <c r="BI284" s="67"/>
      <c r="BJ284" s="106"/>
    </row>
    <row r="285" spans="1:62" s="92" customFormat="1" x14ac:dyDescent="0.2">
      <c r="A285" s="67"/>
      <c r="B285" s="67"/>
      <c r="H285" s="67"/>
      <c r="Y285" s="67"/>
      <c r="BF285" s="67"/>
      <c r="BG285" s="67"/>
      <c r="BH285" s="67"/>
      <c r="BI285" s="67"/>
      <c r="BJ285" s="106"/>
    </row>
    <row r="286" spans="1:62" s="92" customFormat="1" x14ac:dyDescent="0.2">
      <c r="A286" s="67"/>
      <c r="B286" s="67"/>
      <c r="H286" s="67"/>
      <c r="Y286" s="67"/>
      <c r="BF286" s="67"/>
      <c r="BG286" s="67"/>
      <c r="BH286" s="67"/>
      <c r="BI286" s="67"/>
      <c r="BJ286" s="106"/>
    </row>
    <row r="287" spans="1:62" s="92" customFormat="1" x14ac:dyDescent="0.2">
      <c r="A287" s="67"/>
      <c r="B287" s="67"/>
      <c r="H287" s="67"/>
      <c r="Y287" s="67"/>
      <c r="BF287" s="67"/>
      <c r="BG287" s="67"/>
      <c r="BH287" s="67"/>
      <c r="BI287" s="67"/>
      <c r="BJ287" s="106"/>
    </row>
    <row r="288" spans="1:62" s="92" customFormat="1" x14ac:dyDescent="0.2">
      <c r="A288" s="67"/>
      <c r="B288" s="67"/>
      <c r="H288" s="67"/>
      <c r="Y288" s="67"/>
      <c r="BF288" s="67"/>
      <c r="BG288" s="67"/>
      <c r="BH288" s="67"/>
      <c r="BI288" s="67"/>
      <c r="BJ288" s="106"/>
    </row>
    <row r="289" spans="1:62" s="92" customFormat="1" x14ac:dyDescent="0.2">
      <c r="A289" s="67"/>
      <c r="B289" s="67"/>
      <c r="H289" s="67"/>
      <c r="Y289" s="67"/>
      <c r="BF289" s="67"/>
      <c r="BG289" s="67"/>
      <c r="BH289" s="67"/>
      <c r="BI289" s="67"/>
      <c r="BJ289" s="106"/>
    </row>
    <row r="290" spans="1:62" s="92" customFormat="1" x14ac:dyDescent="0.2">
      <c r="A290" s="67"/>
      <c r="B290" s="67"/>
      <c r="H290" s="67"/>
      <c r="Y290" s="67"/>
      <c r="BF290" s="67"/>
      <c r="BG290" s="67"/>
      <c r="BH290" s="67"/>
      <c r="BI290" s="67"/>
      <c r="BJ290" s="106"/>
    </row>
    <row r="291" spans="1:62" s="92" customFormat="1" x14ac:dyDescent="0.2">
      <c r="A291" s="67"/>
      <c r="B291" s="67"/>
      <c r="H291" s="67"/>
      <c r="Y291" s="67"/>
      <c r="BF291" s="67"/>
      <c r="BG291" s="67"/>
      <c r="BH291" s="67"/>
      <c r="BI291" s="67"/>
      <c r="BJ291" s="106"/>
    </row>
    <row r="292" spans="1:62" s="92" customFormat="1" x14ac:dyDescent="0.2">
      <c r="A292" s="67"/>
      <c r="B292" s="67"/>
      <c r="H292" s="67"/>
      <c r="Y292" s="67"/>
      <c r="BF292" s="67"/>
      <c r="BG292" s="67"/>
      <c r="BH292" s="67"/>
      <c r="BI292" s="67"/>
      <c r="BJ292" s="106"/>
    </row>
    <row r="293" spans="1:62" s="92" customFormat="1" x14ac:dyDescent="0.2">
      <c r="A293" s="67"/>
      <c r="B293" s="67"/>
      <c r="H293" s="67"/>
      <c r="Y293" s="67"/>
      <c r="BF293" s="67"/>
      <c r="BG293" s="67"/>
      <c r="BH293" s="67"/>
      <c r="BI293" s="67"/>
      <c r="BJ293" s="106"/>
    </row>
    <row r="294" spans="1:62" s="92" customFormat="1" x14ac:dyDescent="0.2">
      <c r="A294" s="67"/>
      <c r="B294" s="67"/>
      <c r="H294" s="67"/>
      <c r="Y294" s="67"/>
      <c r="BF294" s="67"/>
      <c r="BG294" s="67"/>
      <c r="BH294" s="67"/>
      <c r="BI294" s="67"/>
      <c r="BJ294" s="106"/>
    </row>
    <row r="295" spans="1:62" s="92" customFormat="1" x14ac:dyDescent="0.2">
      <c r="A295" s="67"/>
      <c r="B295" s="67"/>
      <c r="H295" s="67"/>
      <c r="Y295" s="67"/>
      <c r="BF295" s="67"/>
      <c r="BG295" s="67"/>
      <c r="BH295" s="67"/>
      <c r="BI295" s="67"/>
      <c r="BJ295" s="106"/>
    </row>
    <row r="296" spans="1:62" s="92" customFormat="1" x14ac:dyDescent="0.2">
      <c r="A296" s="67"/>
      <c r="B296" s="67"/>
      <c r="H296" s="67"/>
      <c r="Y296" s="67"/>
      <c r="BF296" s="67"/>
      <c r="BG296" s="67"/>
      <c r="BH296" s="67"/>
      <c r="BI296" s="67"/>
      <c r="BJ296" s="106"/>
    </row>
    <row r="297" spans="1:62" s="92" customFormat="1" x14ac:dyDescent="0.2">
      <c r="A297" s="67"/>
      <c r="B297" s="67"/>
      <c r="H297" s="67"/>
      <c r="Y297" s="67"/>
      <c r="BF297" s="67"/>
      <c r="BG297" s="67"/>
      <c r="BH297" s="67"/>
      <c r="BI297" s="67"/>
      <c r="BJ297" s="106"/>
    </row>
    <row r="298" spans="1:62" s="92" customFormat="1" x14ac:dyDescent="0.2">
      <c r="A298" s="67"/>
      <c r="B298" s="67"/>
      <c r="H298" s="67"/>
      <c r="Y298" s="67"/>
      <c r="BF298" s="67"/>
      <c r="BG298" s="67"/>
      <c r="BH298" s="67"/>
      <c r="BI298" s="67"/>
      <c r="BJ298" s="106"/>
    </row>
    <row r="299" spans="1:62" s="92" customFormat="1" x14ac:dyDescent="0.2">
      <c r="A299" s="67"/>
      <c r="B299" s="67"/>
      <c r="H299" s="67"/>
      <c r="Y299" s="67"/>
      <c r="BF299" s="67"/>
      <c r="BG299" s="67"/>
      <c r="BH299" s="67"/>
      <c r="BI299" s="67"/>
      <c r="BJ299" s="106"/>
    </row>
    <row r="300" spans="1:62" s="92" customFormat="1" x14ac:dyDescent="0.2">
      <c r="A300" s="67"/>
      <c r="B300" s="67"/>
      <c r="H300" s="67"/>
      <c r="Y300" s="67"/>
      <c r="BF300" s="67"/>
      <c r="BG300" s="67"/>
      <c r="BH300" s="67"/>
      <c r="BI300" s="67"/>
      <c r="BJ300" s="106"/>
    </row>
    <row r="301" spans="1:62" s="92" customFormat="1" x14ac:dyDescent="0.2">
      <c r="A301" s="67"/>
      <c r="B301" s="67"/>
      <c r="H301" s="67"/>
      <c r="Y301" s="67"/>
      <c r="BF301" s="67"/>
      <c r="BG301" s="67"/>
      <c r="BH301" s="67"/>
      <c r="BI301" s="67"/>
      <c r="BJ301" s="106"/>
    </row>
    <row r="302" spans="1:62" s="92" customFormat="1" x14ac:dyDescent="0.2">
      <c r="A302" s="67"/>
      <c r="B302" s="67"/>
      <c r="H302" s="67"/>
      <c r="Y302" s="67"/>
      <c r="BF302" s="67"/>
      <c r="BG302" s="67"/>
      <c r="BH302" s="67"/>
      <c r="BI302" s="67"/>
      <c r="BJ302" s="106"/>
    </row>
    <row r="303" spans="1:62" s="92" customFormat="1" x14ac:dyDescent="0.2">
      <c r="A303" s="67"/>
      <c r="B303" s="67"/>
      <c r="H303" s="67"/>
      <c r="Y303" s="67"/>
      <c r="BF303" s="67"/>
      <c r="BG303" s="67"/>
      <c r="BH303" s="67"/>
      <c r="BI303" s="67"/>
      <c r="BJ303" s="106"/>
    </row>
    <row r="304" spans="1:62" s="92" customFormat="1" x14ac:dyDescent="0.2">
      <c r="A304" s="67"/>
      <c r="B304" s="67"/>
      <c r="H304" s="67"/>
      <c r="Y304" s="67"/>
      <c r="BF304" s="67"/>
      <c r="BG304" s="67"/>
      <c r="BH304" s="67"/>
      <c r="BI304" s="67"/>
      <c r="BJ304" s="106"/>
    </row>
    <row r="305" spans="1:62" s="92" customFormat="1" x14ac:dyDescent="0.2">
      <c r="A305" s="67"/>
      <c r="B305" s="67"/>
      <c r="H305" s="67"/>
      <c r="Y305" s="67"/>
      <c r="BF305" s="67"/>
      <c r="BG305" s="67"/>
      <c r="BH305" s="67"/>
      <c r="BI305" s="67"/>
      <c r="BJ305" s="106"/>
    </row>
    <row r="306" spans="1:62" s="92" customFormat="1" x14ac:dyDescent="0.2">
      <c r="A306" s="67"/>
      <c r="B306" s="67"/>
      <c r="H306" s="67"/>
      <c r="Y306" s="67"/>
      <c r="BF306" s="67"/>
      <c r="BG306" s="67"/>
      <c r="BH306" s="67"/>
      <c r="BI306" s="67"/>
      <c r="BJ306" s="106"/>
    </row>
    <row r="307" spans="1:62" s="92" customFormat="1" x14ac:dyDescent="0.2">
      <c r="A307" s="67"/>
      <c r="B307" s="67"/>
      <c r="H307" s="67"/>
      <c r="Y307" s="67"/>
      <c r="BF307" s="67"/>
      <c r="BG307" s="67"/>
      <c r="BH307" s="67"/>
      <c r="BI307" s="67"/>
      <c r="BJ307" s="106"/>
    </row>
    <row r="308" spans="1:62" s="92" customFormat="1" x14ac:dyDescent="0.2">
      <c r="A308" s="67"/>
      <c r="B308" s="67"/>
      <c r="H308" s="67"/>
      <c r="Y308" s="67"/>
      <c r="BF308" s="67"/>
      <c r="BG308" s="67"/>
      <c r="BH308" s="67"/>
      <c r="BI308" s="67"/>
      <c r="BJ308" s="106"/>
    </row>
    <row r="309" spans="1:62" s="92" customFormat="1" x14ac:dyDescent="0.2">
      <c r="A309" s="67"/>
      <c r="B309" s="67"/>
      <c r="H309" s="67"/>
      <c r="Y309" s="67"/>
      <c r="BF309" s="67"/>
      <c r="BG309" s="67"/>
      <c r="BH309" s="67"/>
      <c r="BI309" s="67"/>
      <c r="BJ309" s="106"/>
    </row>
    <row r="310" spans="1:62" s="92" customFormat="1" x14ac:dyDescent="0.2">
      <c r="A310" s="67"/>
      <c r="B310" s="67"/>
      <c r="H310" s="67"/>
      <c r="Y310" s="67"/>
      <c r="BF310" s="67"/>
      <c r="BG310" s="67"/>
      <c r="BH310" s="67"/>
      <c r="BI310" s="67"/>
      <c r="BJ310" s="106"/>
    </row>
    <row r="311" spans="1:62" s="92" customFormat="1" x14ac:dyDescent="0.2">
      <c r="A311" s="67"/>
      <c r="B311" s="67"/>
      <c r="H311" s="67"/>
      <c r="Y311" s="67"/>
      <c r="BF311" s="67"/>
      <c r="BG311" s="67"/>
      <c r="BH311" s="67"/>
      <c r="BI311" s="67"/>
      <c r="BJ311" s="106"/>
    </row>
    <row r="312" spans="1:62" s="92" customFormat="1" x14ac:dyDescent="0.2">
      <c r="A312" s="67"/>
      <c r="B312" s="67"/>
      <c r="H312" s="67"/>
      <c r="Y312" s="67"/>
      <c r="BF312" s="67"/>
      <c r="BG312" s="67"/>
      <c r="BH312" s="67"/>
      <c r="BI312" s="67"/>
      <c r="BJ312" s="106"/>
    </row>
    <row r="313" spans="1:62" s="92" customFormat="1" x14ac:dyDescent="0.2">
      <c r="A313" s="67"/>
      <c r="B313" s="67"/>
      <c r="H313" s="67"/>
      <c r="Y313" s="67"/>
      <c r="BF313" s="67"/>
      <c r="BG313" s="67"/>
      <c r="BH313" s="67"/>
      <c r="BI313" s="67"/>
      <c r="BJ313" s="106"/>
    </row>
    <row r="314" spans="1:62" s="92" customFormat="1" x14ac:dyDescent="0.2">
      <c r="A314" s="67"/>
      <c r="B314" s="67"/>
      <c r="H314" s="67"/>
      <c r="Y314" s="67"/>
      <c r="BF314" s="67"/>
      <c r="BG314" s="67"/>
      <c r="BH314" s="67"/>
      <c r="BI314" s="67"/>
      <c r="BJ314" s="106"/>
    </row>
    <row r="315" spans="1:62" s="92" customFormat="1" x14ac:dyDescent="0.2">
      <c r="A315" s="67"/>
      <c r="B315" s="67"/>
      <c r="H315" s="67"/>
      <c r="Y315" s="67"/>
      <c r="BF315" s="67"/>
      <c r="BG315" s="67"/>
      <c r="BH315" s="67"/>
      <c r="BI315" s="67"/>
      <c r="BJ315" s="106"/>
    </row>
    <row r="316" spans="1:62" s="92" customFormat="1" x14ac:dyDescent="0.2">
      <c r="A316" s="67"/>
      <c r="B316" s="67"/>
      <c r="H316" s="67"/>
      <c r="Y316" s="67"/>
      <c r="BF316" s="67"/>
      <c r="BG316" s="67"/>
      <c r="BH316" s="67"/>
      <c r="BI316" s="67"/>
      <c r="BJ316" s="106"/>
    </row>
    <row r="317" spans="1:62" s="92" customFormat="1" x14ac:dyDescent="0.2">
      <c r="A317" s="67"/>
      <c r="B317" s="67"/>
      <c r="H317" s="67"/>
      <c r="Y317" s="67"/>
      <c r="BF317" s="67"/>
      <c r="BG317" s="67"/>
      <c r="BH317" s="67"/>
      <c r="BI317" s="67"/>
      <c r="BJ317" s="106"/>
    </row>
    <row r="318" spans="1:62" s="92" customFormat="1" x14ac:dyDescent="0.2">
      <c r="A318" s="67"/>
      <c r="B318" s="67"/>
      <c r="H318" s="67"/>
      <c r="Y318" s="67"/>
      <c r="BF318" s="67"/>
      <c r="BG318" s="67"/>
      <c r="BH318" s="67"/>
      <c r="BI318" s="67"/>
      <c r="BJ318" s="106"/>
    </row>
    <row r="319" spans="1:62" s="92" customFormat="1" x14ac:dyDescent="0.2">
      <c r="A319" s="67"/>
      <c r="B319" s="67"/>
      <c r="H319" s="67"/>
      <c r="Y319" s="67"/>
      <c r="BF319" s="67"/>
      <c r="BG319" s="67"/>
      <c r="BH319" s="67"/>
      <c r="BI319" s="67"/>
      <c r="BJ319" s="106"/>
    </row>
    <row r="320" spans="1:62" s="92" customFormat="1" x14ac:dyDescent="0.2">
      <c r="A320" s="67"/>
      <c r="B320" s="67"/>
      <c r="H320" s="67"/>
      <c r="Y320" s="67"/>
      <c r="BF320" s="67"/>
      <c r="BG320" s="67"/>
      <c r="BH320" s="67"/>
      <c r="BI320" s="67"/>
      <c r="BJ320" s="106"/>
    </row>
    <row r="321" spans="1:62" s="92" customFormat="1" x14ac:dyDescent="0.2">
      <c r="A321" s="67"/>
      <c r="B321" s="67"/>
      <c r="H321" s="67"/>
      <c r="Y321" s="67"/>
      <c r="BF321" s="67"/>
      <c r="BG321" s="67"/>
      <c r="BH321" s="67"/>
      <c r="BI321" s="67"/>
      <c r="BJ321" s="106"/>
    </row>
    <row r="322" spans="1:62" s="92" customFormat="1" x14ac:dyDescent="0.2">
      <c r="A322" s="67"/>
      <c r="B322" s="67"/>
      <c r="H322" s="67"/>
      <c r="Y322" s="67"/>
      <c r="BF322" s="67"/>
      <c r="BG322" s="67"/>
      <c r="BH322" s="67"/>
      <c r="BI322" s="67"/>
      <c r="BJ322" s="106"/>
    </row>
    <row r="323" spans="1:62" s="92" customFormat="1" x14ac:dyDescent="0.2">
      <c r="A323" s="67"/>
      <c r="B323" s="67"/>
      <c r="H323" s="67"/>
      <c r="Y323" s="67"/>
      <c r="BF323" s="67"/>
      <c r="BG323" s="67"/>
      <c r="BH323" s="67"/>
      <c r="BI323" s="67"/>
      <c r="BJ323" s="106"/>
    </row>
    <row r="324" spans="1:62" s="92" customFormat="1" x14ac:dyDescent="0.2">
      <c r="A324" s="67"/>
      <c r="B324" s="67"/>
      <c r="H324" s="67"/>
      <c r="Y324" s="67"/>
      <c r="BF324" s="67"/>
      <c r="BG324" s="67"/>
      <c r="BH324" s="67"/>
      <c r="BI324" s="67"/>
      <c r="BJ324" s="106"/>
    </row>
    <row r="325" spans="1:62" s="92" customFormat="1" x14ac:dyDescent="0.2">
      <c r="A325" s="67"/>
      <c r="B325" s="67"/>
      <c r="H325" s="67"/>
      <c r="Y325" s="67"/>
      <c r="BF325" s="67"/>
      <c r="BG325" s="67"/>
      <c r="BH325" s="67"/>
      <c r="BI325" s="67"/>
      <c r="BJ325" s="106"/>
    </row>
    <row r="326" spans="1:62" s="92" customFormat="1" x14ac:dyDescent="0.2">
      <c r="A326" s="67"/>
      <c r="B326" s="67"/>
      <c r="H326" s="67"/>
      <c r="Y326" s="67"/>
      <c r="BF326" s="67"/>
      <c r="BG326" s="67"/>
      <c r="BH326" s="67"/>
      <c r="BI326" s="67"/>
      <c r="BJ326" s="106"/>
    </row>
    <row r="327" spans="1:62" s="92" customFormat="1" x14ac:dyDescent="0.2">
      <c r="A327" s="67"/>
      <c r="B327" s="67"/>
      <c r="H327" s="67"/>
      <c r="Y327" s="67"/>
      <c r="BF327" s="67"/>
      <c r="BG327" s="67"/>
      <c r="BH327" s="67"/>
      <c r="BI327" s="67"/>
      <c r="BJ327" s="106"/>
    </row>
    <row r="328" spans="1:62" s="92" customFormat="1" x14ac:dyDescent="0.2">
      <c r="A328" s="67"/>
      <c r="B328" s="67"/>
      <c r="H328" s="67"/>
      <c r="Y328" s="67"/>
      <c r="BF328" s="67"/>
      <c r="BG328" s="67"/>
      <c r="BH328" s="67"/>
      <c r="BI328" s="67"/>
      <c r="BJ328" s="106"/>
    </row>
    <row r="329" spans="1:62" s="92" customFormat="1" x14ac:dyDescent="0.2">
      <c r="A329" s="67"/>
      <c r="B329" s="67"/>
      <c r="H329" s="67"/>
      <c r="Y329" s="67"/>
      <c r="BF329" s="67"/>
      <c r="BG329" s="67"/>
      <c r="BH329" s="67"/>
      <c r="BI329" s="67"/>
      <c r="BJ329" s="106"/>
    </row>
    <row r="330" spans="1:62" s="92" customFormat="1" x14ac:dyDescent="0.2">
      <c r="A330" s="67"/>
      <c r="B330" s="67"/>
      <c r="H330" s="67"/>
      <c r="Y330" s="67"/>
      <c r="BF330" s="67"/>
      <c r="BG330" s="67"/>
      <c r="BH330" s="67"/>
      <c r="BI330" s="67"/>
      <c r="BJ330" s="106"/>
    </row>
    <row r="331" spans="1:62" s="92" customFormat="1" x14ac:dyDescent="0.2">
      <c r="A331" s="67"/>
      <c r="B331" s="67"/>
      <c r="H331" s="67"/>
      <c r="Y331" s="67"/>
      <c r="BF331" s="67"/>
      <c r="BG331" s="67"/>
      <c r="BH331" s="67"/>
      <c r="BI331" s="67"/>
      <c r="BJ331" s="106"/>
    </row>
    <row r="332" spans="1:62" s="92" customFormat="1" x14ac:dyDescent="0.2">
      <c r="A332" s="67"/>
      <c r="B332" s="67"/>
      <c r="H332" s="67"/>
      <c r="Y332" s="67"/>
      <c r="BF332" s="67"/>
      <c r="BG332" s="67"/>
      <c r="BH332" s="67"/>
      <c r="BI332" s="67"/>
      <c r="BJ332" s="106"/>
    </row>
    <row r="333" spans="1:62" s="92" customFormat="1" x14ac:dyDescent="0.2">
      <c r="A333" s="67"/>
      <c r="B333" s="67"/>
      <c r="H333" s="67"/>
      <c r="Y333" s="67"/>
      <c r="BF333" s="67"/>
      <c r="BG333" s="67"/>
      <c r="BH333" s="67"/>
      <c r="BI333" s="67"/>
      <c r="BJ333" s="106"/>
    </row>
    <row r="334" spans="1:62" s="92" customFormat="1" x14ac:dyDescent="0.2">
      <c r="A334" s="67"/>
      <c r="B334" s="67"/>
      <c r="H334" s="67"/>
      <c r="Y334" s="67"/>
      <c r="BF334" s="67"/>
      <c r="BG334" s="67"/>
      <c r="BH334" s="67"/>
      <c r="BI334" s="67"/>
      <c r="BJ334" s="106"/>
    </row>
    <row r="335" spans="1:62" s="92" customFormat="1" x14ac:dyDescent="0.2">
      <c r="A335" s="67"/>
      <c r="B335" s="67"/>
      <c r="H335" s="67"/>
      <c r="Y335" s="67"/>
      <c r="BF335" s="67"/>
      <c r="BG335" s="67"/>
      <c r="BH335" s="67"/>
      <c r="BI335" s="67"/>
      <c r="BJ335" s="106"/>
    </row>
    <row r="336" spans="1:62" s="92" customFormat="1" x14ac:dyDescent="0.2">
      <c r="A336" s="67"/>
      <c r="B336" s="67"/>
      <c r="H336" s="67"/>
      <c r="Y336" s="67"/>
      <c r="BF336" s="67"/>
      <c r="BG336" s="67"/>
      <c r="BH336" s="67"/>
      <c r="BI336" s="67"/>
      <c r="BJ336" s="106"/>
    </row>
    <row r="337" spans="1:62" s="92" customFormat="1" x14ac:dyDescent="0.2">
      <c r="A337" s="67"/>
      <c r="B337" s="67"/>
      <c r="H337" s="67"/>
      <c r="Y337" s="67"/>
      <c r="BF337" s="67"/>
      <c r="BG337" s="67"/>
      <c r="BH337" s="67"/>
      <c r="BI337" s="67"/>
      <c r="BJ337" s="106"/>
    </row>
    <row r="338" spans="1:62" s="92" customFormat="1" x14ac:dyDescent="0.2">
      <c r="A338" s="67"/>
      <c r="B338" s="67"/>
      <c r="H338" s="67"/>
      <c r="Y338" s="67"/>
      <c r="BF338" s="67"/>
      <c r="BG338" s="67"/>
      <c r="BH338" s="67"/>
      <c r="BI338" s="67"/>
      <c r="BJ338" s="106"/>
    </row>
    <row r="339" spans="1:62" s="92" customFormat="1" x14ac:dyDescent="0.2">
      <c r="A339" s="67"/>
      <c r="B339" s="67"/>
      <c r="H339" s="67"/>
      <c r="Y339" s="67"/>
      <c r="BF339" s="67"/>
      <c r="BG339" s="67"/>
      <c r="BH339" s="67"/>
      <c r="BI339" s="67"/>
      <c r="BJ339" s="106"/>
    </row>
    <row r="340" spans="1:62" s="92" customFormat="1" x14ac:dyDescent="0.2">
      <c r="A340" s="67"/>
      <c r="B340" s="67"/>
      <c r="H340" s="67"/>
      <c r="Y340" s="67"/>
      <c r="BF340" s="67"/>
      <c r="BG340" s="67"/>
      <c r="BH340" s="67"/>
      <c r="BI340" s="67"/>
      <c r="BJ340" s="106"/>
    </row>
    <row r="341" spans="1:62" s="92" customFormat="1" x14ac:dyDescent="0.2">
      <c r="A341" s="67"/>
      <c r="B341" s="67"/>
      <c r="H341" s="67"/>
      <c r="Y341" s="67"/>
      <c r="BF341" s="67"/>
      <c r="BG341" s="67"/>
      <c r="BH341" s="67"/>
      <c r="BI341" s="67"/>
      <c r="BJ341" s="106"/>
    </row>
    <row r="342" spans="1:62" s="92" customFormat="1" x14ac:dyDescent="0.2">
      <c r="A342" s="67"/>
      <c r="B342" s="67"/>
      <c r="H342" s="67"/>
      <c r="Y342" s="67"/>
      <c r="BF342" s="67"/>
      <c r="BG342" s="67"/>
      <c r="BH342" s="67"/>
      <c r="BI342" s="67"/>
      <c r="BJ342" s="106"/>
    </row>
    <row r="343" spans="1:62" s="92" customFormat="1" x14ac:dyDescent="0.2">
      <c r="A343" s="67"/>
      <c r="B343" s="67"/>
      <c r="H343" s="67"/>
      <c r="Y343" s="67"/>
      <c r="BF343" s="67"/>
      <c r="BG343" s="67"/>
      <c r="BH343" s="67"/>
      <c r="BI343" s="67"/>
      <c r="BJ343" s="106"/>
    </row>
    <row r="344" spans="1:62" s="92" customFormat="1" x14ac:dyDescent="0.2">
      <c r="A344" s="67"/>
      <c r="B344" s="67"/>
      <c r="H344" s="67"/>
      <c r="Y344" s="67"/>
      <c r="BF344" s="67"/>
      <c r="BG344" s="67"/>
      <c r="BH344" s="67"/>
      <c r="BI344" s="67"/>
      <c r="BJ344" s="106"/>
    </row>
    <row r="345" spans="1:62" s="92" customFormat="1" x14ac:dyDescent="0.2">
      <c r="A345" s="67"/>
      <c r="B345" s="67"/>
      <c r="H345" s="67"/>
      <c r="Y345" s="67"/>
      <c r="BF345" s="67"/>
      <c r="BG345" s="67"/>
      <c r="BH345" s="67"/>
      <c r="BI345" s="67"/>
      <c r="BJ345" s="106"/>
    </row>
    <row r="346" spans="1:62" s="92" customFormat="1" x14ac:dyDescent="0.2">
      <c r="A346" s="67"/>
      <c r="B346" s="67"/>
      <c r="H346" s="67"/>
      <c r="Y346" s="67"/>
      <c r="BF346" s="67"/>
      <c r="BG346" s="67"/>
      <c r="BH346" s="67"/>
      <c r="BI346" s="67"/>
      <c r="BJ346" s="106"/>
    </row>
    <row r="347" spans="1:62" s="92" customFormat="1" x14ac:dyDescent="0.2">
      <c r="A347" s="67"/>
      <c r="B347" s="67"/>
      <c r="H347" s="67"/>
      <c r="Y347" s="67"/>
      <c r="BF347" s="67"/>
      <c r="BG347" s="67"/>
      <c r="BH347" s="67"/>
      <c r="BI347" s="67"/>
      <c r="BJ347" s="106"/>
    </row>
    <row r="348" spans="1:62" s="92" customFormat="1" x14ac:dyDescent="0.2">
      <c r="A348" s="67"/>
      <c r="B348" s="67"/>
      <c r="H348" s="67"/>
      <c r="Y348" s="67"/>
      <c r="BF348" s="67"/>
      <c r="BG348" s="67"/>
      <c r="BH348" s="67"/>
      <c r="BI348" s="67"/>
      <c r="BJ348" s="106"/>
    </row>
    <row r="349" spans="1:62" s="92" customFormat="1" x14ac:dyDescent="0.2">
      <c r="A349" s="67"/>
      <c r="B349" s="67"/>
      <c r="H349" s="67"/>
      <c r="Y349" s="67"/>
      <c r="BF349" s="67"/>
      <c r="BG349" s="67"/>
      <c r="BH349" s="67"/>
      <c r="BI349" s="67"/>
      <c r="BJ349" s="106"/>
    </row>
    <row r="350" spans="1:62" s="92" customFormat="1" x14ac:dyDescent="0.2">
      <c r="A350" s="67"/>
      <c r="B350" s="67"/>
      <c r="H350" s="67"/>
      <c r="Y350" s="67"/>
      <c r="BF350" s="67"/>
      <c r="BG350" s="67"/>
      <c r="BH350" s="67"/>
      <c r="BI350" s="67"/>
      <c r="BJ350" s="106"/>
    </row>
    <row r="351" spans="1:62" s="92" customFormat="1" x14ac:dyDescent="0.2">
      <c r="A351" s="67"/>
      <c r="B351" s="67"/>
      <c r="H351" s="67"/>
      <c r="Y351" s="67"/>
      <c r="BF351" s="67"/>
      <c r="BG351" s="67"/>
      <c r="BH351" s="67"/>
      <c r="BI351" s="67"/>
      <c r="BJ351" s="106"/>
    </row>
    <row r="352" spans="1:62" s="92" customFormat="1" x14ac:dyDescent="0.2">
      <c r="A352" s="67"/>
      <c r="B352" s="67"/>
      <c r="H352" s="67"/>
      <c r="Y352" s="67"/>
      <c r="BF352" s="67"/>
      <c r="BG352" s="67"/>
      <c r="BH352" s="67"/>
      <c r="BI352" s="67"/>
      <c r="BJ352" s="106"/>
    </row>
    <row r="353" spans="1:62" s="92" customFormat="1" x14ac:dyDescent="0.2">
      <c r="A353" s="67"/>
      <c r="B353" s="67"/>
      <c r="H353" s="67"/>
      <c r="Y353" s="67"/>
      <c r="BF353" s="67"/>
      <c r="BG353" s="67"/>
      <c r="BH353" s="67"/>
      <c r="BI353" s="67"/>
      <c r="BJ353" s="106"/>
    </row>
    <row r="354" spans="1:62" s="92" customFormat="1" x14ac:dyDescent="0.2">
      <c r="A354" s="67"/>
      <c r="B354" s="67"/>
      <c r="H354" s="67"/>
      <c r="Y354" s="67"/>
      <c r="BF354" s="67"/>
      <c r="BG354" s="67"/>
      <c r="BH354" s="67"/>
      <c r="BI354" s="67"/>
      <c r="BJ354" s="106"/>
    </row>
    <row r="355" spans="1:62" s="92" customFormat="1" x14ac:dyDescent="0.2">
      <c r="A355" s="67"/>
      <c r="B355" s="67"/>
      <c r="H355" s="67"/>
      <c r="Y355" s="67"/>
      <c r="BF355" s="67"/>
      <c r="BG355" s="67"/>
      <c r="BH355" s="67"/>
      <c r="BI355" s="67"/>
      <c r="BJ355" s="106"/>
    </row>
    <row r="356" spans="1:62" s="92" customFormat="1" x14ac:dyDescent="0.2">
      <c r="A356" s="67"/>
      <c r="B356" s="67"/>
      <c r="H356" s="67"/>
      <c r="Y356" s="67"/>
      <c r="BF356" s="67"/>
      <c r="BG356" s="67"/>
      <c r="BH356" s="67"/>
      <c r="BI356" s="67"/>
      <c r="BJ356" s="106"/>
    </row>
    <row r="357" spans="1:62" s="92" customFormat="1" x14ac:dyDescent="0.2">
      <c r="A357" s="67"/>
      <c r="B357" s="67"/>
      <c r="H357" s="67"/>
      <c r="Y357" s="67"/>
      <c r="BF357" s="67"/>
      <c r="BG357" s="67"/>
      <c r="BH357" s="67"/>
      <c r="BI357" s="67"/>
      <c r="BJ357" s="106"/>
    </row>
    <row r="358" spans="1:62" s="92" customFormat="1" x14ac:dyDescent="0.2">
      <c r="A358" s="67"/>
      <c r="B358" s="67"/>
      <c r="H358" s="67"/>
      <c r="Y358" s="67"/>
      <c r="BF358" s="67"/>
      <c r="BG358" s="67"/>
      <c r="BH358" s="67"/>
      <c r="BI358" s="67"/>
      <c r="BJ358" s="106"/>
    </row>
    <row r="359" spans="1:62" s="92" customFormat="1" x14ac:dyDescent="0.2">
      <c r="A359" s="67"/>
      <c r="B359" s="67"/>
      <c r="H359" s="67"/>
      <c r="Y359" s="67"/>
      <c r="BF359" s="67"/>
      <c r="BG359" s="67"/>
      <c r="BH359" s="67"/>
      <c r="BI359" s="67"/>
      <c r="BJ359" s="106"/>
    </row>
    <row r="360" spans="1:62" s="92" customFormat="1" x14ac:dyDescent="0.2">
      <c r="A360" s="67"/>
      <c r="B360" s="67"/>
      <c r="H360" s="67"/>
      <c r="Y360" s="67"/>
      <c r="BF360" s="67"/>
      <c r="BG360" s="67"/>
      <c r="BH360" s="67"/>
      <c r="BI360" s="67"/>
      <c r="BJ360" s="106"/>
    </row>
    <row r="361" spans="1:62" s="92" customFormat="1" x14ac:dyDescent="0.2">
      <c r="A361" s="67"/>
      <c r="B361" s="67"/>
      <c r="H361" s="67"/>
      <c r="Y361" s="67"/>
      <c r="BF361" s="67"/>
      <c r="BG361" s="67"/>
      <c r="BH361" s="67"/>
      <c r="BI361" s="67"/>
      <c r="BJ361" s="106"/>
    </row>
    <row r="362" spans="1:62" s="92" customFormat="1" x14ac:dyDescent="0.2">
      <c r="A362" s="67"/>
      <c r="B362" s="67"/>
      <c r="H362" s="67"/>
      <c r="Y362" s="67"/>
      <c r="BF362" s="67"/>
      <c r="BG362" s="67"/>
      <c r="BH362" s="67"/>
      <c r="BI362" s="67"/>
      <c r="BJ362" s="106"/>
    </row>
    <row r="363" spans="1:62" s="92" customFormat="1" x14ac:dyDescent="0.2">
      <c r="A363" s="67"/>
      <c r="B363" s="67"/>
      <c r="H363" s="67"/>
      <c r="Y363" s="67"/>
      <c r="BF363" s="67"/>
      <c r="BG363" s="67"/>
      <c r="BH363" s="67"/>
      <c r="BI363" s="67"/>
      <c r="BJ363" s="106"/>
    </row>
    <row r="364" spans="1:62" s="92" customFormat="1" x14ac:dyDescent="0.2">
      <c r="A364" s="67"/>
      <c r="B364" s="67"/>
      <c r="H364" s="67"/>
      <c r="Y364" s="67"/>
      <c r="BF364" s="67"/>
      <c r="BG364" s="67"/>
      <c r="BH364" s="67"/>
      <c r="BI364" s="67"/>
      <c r="BJ364" s="106"/>
    </row>
    <row r="365" spans="1:62" s="92" customFormat="1" x14ac:dyDescent="0.2">
      <c r="A365" s="67"/>
      <c r="B365" s="67"/>
      <c r="H365" s="67"/>
      <c r="Y365" s="67"/>
      <c r="BF365" s="67"/>
      <c r="BG365" s="67"/>
      <c r="BH365" s="67"/>
      <c r="BI365" s="67"/>
      <c r="BJ365" s="106"/>
    </row>
    <row r="366" spans="1:62" s="92" customFormat="1" x14ac:dyDescent="0.2">
      <c r="A366" s="67"/>
      <c r="B366" s="67"/>
      <c r="H366" s="67"/>
      <c r="Y366" s="67"/>
      <c r="BF366" s="67"/>
      <c r="BG366" s="67"/>
      <c r="BH366" s="67"/>
      <c r="BI366" s="67"/>
      <c r="BJ366" s="106"/>
    </row>
    <row r="367" spans="1:62" s="92" customFormat="1" x14ac:dyDescent="0.2">
      <c r="A367" s="67"/>
      <c r="B367" s="67"/>
      <c r="H367" s="67"/>
      <c r="Y367" s="67"/>
      <c r="BF367" s="67"/>
      <c r="BG367" s="67"/>
      <c r="BH367" s="67"/>
      <c r="BI367" s="67"/>
      <c r="BJ367" s="106"/>
    </row>
    <row r="368" spans="1:62" s="92" customFormat="1" x14ac:dyDescent="0.2">
      <c r="A368" s="67"/>
      <c r="B368" s="67"/>
      <c r="H368" s="67"/>
      <c r="Y368" s="67"/>
      <c r="BF368" s="67"/>
      <c r="BG368" s="67"/>
      <c r="BH368" s="67"/>
      <c r="BI368" s="67"/>
      <c r="BJ368" s="106"/>
    </row>
    <row r="369" spans="1:62" s="92" customFormat="1" x14ac:dyDescent="0.2">
      <c r="A369" s="67"/>
      <c r="B369" s="67"/>
      <c r="H369" s="67"/>
      <c r="Y369" s="67"/>
      <c r="BF369" s="67"/>
      <c r="BG369" s="67"/>
      <c r="BH369" s="67"/>
      <c r="BI369" s="67"/>
      <c r="BJ369" s="106"/>
    </row>
    <row r="370" spans="1:62" s="92" customFormat="1" x14ac:dyDescent="0.2">
      <c r="A370" s="67"/>
      <c r="B370" s="67"/>
      <c r="H370" s="67"/>
      <c r="Y370" s="67"/>
      <c r="BF370" s="67"/>
      <c r="BG370" s="67"/>
      <c r="BH370" s="67"/>
      <c r="BI370" s="67"/>
      <c r="BJ370" s="106"/>
    </row>
    <row r="371" spans="1:62" s="92" customFormat="1" x14ac:dyDescent="0.2">
      <c r="A371" s="67"/>
      <c r="B371" s="67"/>
      <c r="H371" s="67"/>
      <c r="Y371" s="67"/>
      <c r="BF371" s="67"/>
      <c r="BG371" s="67"/>
      <c r="BH371" s="67"/>
      <c r="BI371" s="67"/>
      <c r="BJ371" s="106"/>
    </row>
    <row r="372" spans="1:62" s="92" customFormat="1" x14ac:dyDescent="0.2">
      <c r="A372" s="67"/>
      <c r="B372" s="67"/>
      <c r="H372" s="67"/>
      <c r="Y372" s="67"/>
      <c r="BF372" s="67"/>
      <c r="BG372" s="67"/>
      <c r="BH372" s="67"/>
      <c r="BI372" s="67"/>
      <c r="BJ372" s="106"/>
    </row>
    <row r="373" spans="1:62" s="92" customFormat="1" x14ac:dyDescent="0.2">
      <c r="A373" s="67"/>
      <c r="B373" s="67"/>
      <c r="H373" s="67"/>
      <c r="Y373" s="67"/>
      <c r="BF373" s="67"/>
      <c r="BG373" s="67"/>
      <c r="BH373" s="67"/>
      <c r="BI373" s="67"/>
      <c r="BJ373" s="106"/>
    </row>
    <row r="374" spans="1:62" s="92" customFormat="1" x14ac:dyDescent="0.2">
      <c r="A374" s="67"/>
      <c r="B374" s="67"/>
      <c r="H374" s="67"/>
      <c r="Y374" s="67"/>
      <c r="BF374" s="67"/>
      <c r="BG374" s="67"/>
      <c r="BH374" s="67"/>
      <c r="BI374" s="67"/>
      <c r="BJ374" s="106"/>
    </row>
    <row r="375" spans="1:62" s="92" customFormat="1" x14ac:dyDescent="0.2">
      <c r="A375" s="67"/>
      <c r="B375" s="67"/>
      <c r="H375" s="67"/>
      <c r="Y375" s="67"/>
      <c r="BF375" s="67"/>
      <c r="BG375" s="67"/>
      <c r="BH375" s="67"/>
      <c r="BI375" s="67"/>
      <c r="BJ375" s="106"/>
    </row>
    <row r="376" spans="1:62" s="92" customFormat="1" x14ac:dyDescent="0.2">
      <c r="A376" s="67"/>
      <c r="B376" s="67"/>
      <c r="H376" s="67"/>
      <c r="Y376" s="67"/>
      <c r="BF376" s="67"/>
      <c r="BG376" s="67"/>
      <c r="BH376" s="67"/>
      <c r="BI376" s="67"/>
      <c r="BJ376" s="106"/>
    </row>
    <row r="377" spans="1:62" s="92" customFormat="1" x14ac:dyDescent="0.2">
      <c r="A377" s="67"/>
      <c r="B377" s="67"/>
      <c r="H377" s="67"/>
      <c r="Y377" s="67"/>
      <c r="BF377" s="67"/>
      <c r="BG377" s="67"/>
      <c r="BH377" s="67"/>
      <c r="BI377" s="67"/>
      <c r="BJ377" s="106"/>
    </row>
    <row r="378" spans="1:62" s="92" customFormat="1" x14ac:dyDescent="0.2">
      <c r="A378" s="67"/>
      <c r="B378" s="67"/>
      <c r="H378" s="67"/>
      <c r="Y378" s="67"/>
      <c r="BF378" s="67"/>
      <c r="BG378" s="67"/>
      <c r="BH378" s="67"/>
      <c r="BI378" s="67"/>
      <c r="BJ378" s="106"/>
    </row>
    <row r="379" spans="1:62" s="92" customFormat="1" x14ac:dyDescent="0.2">
      <c r="A379" s="67"/>
      <c r="B379" s="67"/>
      <c r="H379" s="67"/>
      <c r="Y379" s="67"/>
      <c r="BF379" s="67"/>
      <c r="BG379" s="67"/>
      <c r="BH379" s="67"/>
      <c r="BI379" s="67"/>
      <c r="BJ379" s="106"/>
    </row>
    <row r="380" spans="1:62" s="92" customFormat="1" x14ac:dyDescent="0.2">
      <c r="A380" s="67"/>
      <c r="B380" s="67"/>
      <c r="H380" s="67"/>
      <c r="Y380" s="67"/>
      <c r="BF380" s="67"/>
      <c r="BG380" s="67"/>
      <c r="BH380" s="67"/>
      <c r="BI380" s="67"/>
      <c r="BJ380" s="106"/>
    </row>
    <row r="381" spans="1:62" s="92" customFormat="1" x14ac:dyDescent="0.2">
      <c r="A381" s="67"/>
      <c r="B381" s="67"/>
      <c r="H381" s="67"/>
      <c r="Y381" s="67"/>
      <c r="BF381" s="67"/>
      <c r="BG381" s="67"/>
      <c r="BH381" s="67"/>
      <c r="BI381" s="67"/>
      <c r="BJ381" s="106"/>
    </row>
    <row r="382" spans="1:62" s="92" customFormat="1" x14ac:dyDescent="0.2">
      <c r="A382" s="67"/>
      <c r="B382" s="67"/>
      <c r="H382" s="67"/>
      <c r="Y382" s="67"/>
      <c r="BF382" s="67"/>
      <c r="BG382" s="67"/>
      <c r="BH382" s="67"/>
      <c r="BI382" s="67"/>
      <c r="BJ382" s="106"/>
    </row>
    <row r="383" spans="1:62" s="92" customFormat="1" x14ac:dyDescent="0.2">
      <c r="A383" s="67"/>
      <c r="B383" s="67"/>
      <c r="H383" s="67"/>
      <c r="Y383" s="67"/>
      <c r="BF383" s="67"/>
      <c r="BG383" s="67"/>
      <c r="BH383" s="67"/>
      <c r="BI383" s="67"/>
      <c r="BJ383" s="106"/>
    </row>
    <row r="384" spans="1:62" s="92" customFormat="1" x14ac:dyDescent="0.2">
      <c r="A384" s="67"/>
      <c r="B384" s="67"/>
      <c r="H384" s="67"/>
      <c r="Y384" s="67"/>
      <c r="BF384" s="67"/>
      <c r="BG384" s="67"/>
      <c r="BH384" s="67"/>
      <c r="BI384" s="67"/>
      <c r="BJ384" s="106"/>
    </row>
    <row r="385" spans="1:62" s="92" customFormat="1" x14ac:dyDescent="0.2">
      <c r="A385" s="67"/>
      <c r="B385" s="67"/>
      <c r="H385" s="67"/>
      <c r="Y385" s="67"/>
      <c r="BF385" s="67"/>
      <c r="BG385" s="67"/>
      <c r="BH385" s="67"/>
      <c r="BI385" s="67"/>
      <c r="BJ385" s="106"/>
    </row>
    <row r="386" spans="1:62" s="92" customFormat="1" x14ac:dyDescent="0.2">
      <c r="A386" s="67"/>
      <c r="B386" s="67"/>
      <c r="H386" s="67"/>
      <c r="Y386" s="67"/>
      <c r="BF386" s="67"/>
      <c r="BG386" s="67"/>
      <c r="BH386" s="67"/>
      <c r="BI386" s="67"/>
      <c r="BJ386" s="106"/>
    </row>
    <row r="387" spans="1:62" s="92" customFormat="1" x14ac:dyDescent="0.2">
      <c r="A387" s="67"/>
      <c r="B387" s="67"/>
      <c r="H387" s="67"/>
      <c r="Y387" s="67"/>
      <c r="BF387" s="67"/>
      <c r="BG387" s="67"/>
      <c r="BH387" s="67"/>
      <c r="BI387" s="67"/>
      <c r="BJ387" s="106"/>
    </row>
    <row r="388" spans="1:62" s="92" customFormat="1" x14ac:dyDescent="0.2">
      <c r="A388" s="67"/>
      <c r="B388" s="67"/>
      <c r="H388" s="67"/>
      <c r="Y388" s="67"/>
      <c r="BF388" s="67"/>
      <c r="BG388" s="67"/>
      <c r="BH388" s="67"/>
      <c r="BI388" s="67"/>
      <c r="BJ388" s="106"/>
    </row>
    <row r="389" spans="1:62" s="92" customFormat="1" x14ac:dyDescent="0.2">
      <c r="A389" s="67"/>
      <c r="B389" s="67"/>
      <c r="H389" s="67"/>
      <c r="Y389" s="67"/>
      <c r="BF389" s="67"/>
      <c r="BG389" s="67"/>
      <c r="BH389" s="67"/>
      <c r="BI389" s="67"/>
      <c r="BJ389" s="106"/>
    </row>
    <row r="390" spans="1:62" s="92" customFormat="1" x14ac:dyDescent="0.2">
      <c r="A390" s="67"/>
      <c r="B390" s="67"/>
      <c r="H390" s="67"/>
      <c r="Y390" s="67"/>
      <c r="BF390" s="67"/>
      <c r="BG390" s="67"/>
      <c r="BH390" s="67"/>
      <c r="BI390" s="67"/>
      <c r="BJ390" s="106"/>
    </row>
    <row r="391" spans="1:62" s="92" customFormat="1" x14ac:dyDescent="0.2">
      <c r="A391" s="67"/>
      <c r="B391" s="67"/>
      <c r="H391" s="67"/>
      <c r="Y391" s="67"/>
      <c r="BF391" s="67"/>
      <c r="BG391" s="67"/>
      <c r="BH391" s="67"/>
      <c r="BI391" s="67"/>
      <c r="BJ391" s="106"/>
    </row>
    <row r="392" spans="1:62" s="92" customFormat="1" x14ac:dyDescent="0.2">
      <c r="A392" s="67"/>
      <c r="B392" s="67"/>
      <c r="H392" s="67"/>
      <c r="Y392" s="67"/>
      <c r="BF392" s="67"/>
      <c r="BG392" s="67"/>
      <c r="BH392" s="67"/>
      <c r="BI392" s="67"/>
      <c r="BJ392" s="106"/>
    </row>
    <row r="393" spans="1:62" s="92" customFormat="1" x14ac:dyDescent="0.2">
      <c r="A393" s="67"/>
      <c r="B393" s="67"/>
      <c r="H393" s="67"/>
      <c r="Y393" s="67"/>
      <c r="BF393" s="67"/>
      <c r="BG393" s="67"/>
      <c r="BH393" s="67"/>
      <c r="BI393" s="67"/>
      <c r="BJ393" s="106"/>
    </row>
    <row r="394" spans="1:62" s="92" customFormat="1" x14ac:dyDescent="0.2">
      <c r="A394" s="67"/>
      <c r="B394" s="67"/>
      <c r="H394" s="67"/>
      <c r="Y394" s="67"/>
      <c r="BF394" s="67"/>
      <c r="BG394" s="67"/>
      <c r="BH394" s="67"/>
      <c r="BI394" s="67"/>
      <c r="BJ394" s="106"/>
    </row>
    <row r="395" spans="1:62" s="92" customFormat="1" x14ac:dyDescent="0.2">
      <c r="A395" s="67"/>
      <c r="B395" s="67"/>
      <c r="H395" s="67"/>
      <c r="Y395" s="67"/>
      <c r="BF395" s="67"/>
      <c r="BG395" s="67"/>
      <c r="BH395" s="67"/>
      <c r="BI395" s="67"/>
      <c r="BJ395" s="106"/>
    </row>
    <row r="396" spans="1:62" s="92" customFormat="1" x14ac:dyDescent="0.2">
      <c r="A396" s="67"/>
      <c r="B396" s="67"/>
      <c r="H396" s="67"/>
      <c r="Y396" s="67"/>
      <c r="BF396" s="67"/>
      <c r="BG396" s="67"/>
      <c r="BH396" s="67"/>
      <c r="BI396" s="67"/>
      <c r="BJ396" s="106"/>
    </row>
    <row r="397" spans="1:62" s="92" customFormat="1" x14ac:dyDescent="0.2">
      <c r="A397" s="67"/>
      <c r="B397" s="67"/>
      <c r="H397" s="67"/>
      <c r="Y397" s="67"/>
      <c r="BF397" s="67"/>
      <c r="BG397" s="67"/>
      <c r="BH397" s="67"/>
      <c r="BI397" s="67"/>
      <c r="BJ397" s="106"/>
    </row>
    <row r="398" spans="1:62" s="92" customFormat="1" x14ac:dyDescent="0.2">
      <c r="A398" s="67"/>
      <c r="B398" s="67"/>
      <c r="H398" s="67"/>
      <c r="Y398" s="67"/>
      <c r="BF398" s="67"/>
      <c r="BG398" s="67"/>
      <c r="BH398" s="67"/>
      <c r="BI398" s="67"/>
      <c r="BJ398" s="106"/>
    </row>
    <row r="399" spans="1:62" s="92" customFormat="1" x14ac:dyDescent="0.2">
      <c r="A399" s="67"/>
      <c r="B399" s="67"/>
      <c r="H399" s="67"/>
      <c r="Y399" s="67"/>
      <c r="BF399" s="67"/>
      <c r="BG399" s="67"/>
      <c r="BH399" s="67"/>
      <c r="BI399" s="67"/>
      <c r="BJ399" s="106"/>
    </row>
    <row r="400" spans="1:62" s="92" customFormat="1" x14ac:dyDescent="0.2">
      <c r="A400" s="67"/>
      <c r="B400" s="67"/>
      <c r="H400" s="67"/>
      <c r="Y400" s="67"/>
      <c r="BF400" s="67"/>
      <c r="BG400" s="67"/>
      <c r="BH400" s="67"/>
      <c r="BI400" s="67"/>
      <c r="BJ400" s="106"/>
    </row>
    <row r="401" spans="1:62" s="92" customFormat="1" x14ac:dyDescent="0.2">
      <c r="A401" s="67"/>
      <c r="B401" s="67"/>
      <c r="H401" s="67"/>
      <c r="Y401" s="67"/>
      <c r="BF401" s="67"/>
      <c r="BG401" s="67"/>
      <c r="BH401" s="67"/>
      <c r="BI401" s="67"/>
      <c r="BJ401" s="106"/>
    </row>
    <row r="402" spans="1:62" s="92" customFormat="1" x14ac:dyDescent="0.2">
      <c r="A402" s="67"/>
      <c r="B402" s="67"/>
      <c r="H402" s="67"/>
      <c r="Y402" s="67"/>
      <c r="BF402" s="67"/>
      <c r="BG402" s="67"/>
      <c r="BH402" s="67"/>
      <c r="BI402" s="67"/>
      <c r="BJ402" s="106"/>
    </row>
    <row r="403" spans="1:62" s="92" customFormat="1" x14ac:dyDescent="0.2">
      <c r="A403" s="67"/>
      <c r="B403" s="67"/>
      <c r="H403" s="67"/>
      <c r="Y403" s="67"/>
      <c r="BF403" s="67"/>
      <c r="BG403" s="67"/>
      <c r="BH403" s="67"/>
      <c r="BI403" s="67"/>
      <c r="BJ403" s="106"/>
    </row>
    <row r="404" spans="1:62" s="92" customFormat="1" x14ac:dyDescent="0.2">
      <c r="A404" s="67"/>
      <c r="B404" s="67"/>
      <c r="H404" s="67"/>
      <c r="Y404" s="67"/>
      <c r="BF404" s="67"/>
      <c r="BG404" s="67"/>
      <c r="BH404" s="67"/>
      <c r="BI404" s="67"/>
      <c r="BJ404" s="106"/>
    </row>
    <row r="405" spans="1:62" s="92" customFormat="1" x14ac:dyDescent="0.2">
      <c r="A405" s="67"/>
      <c r="B405" s="67"/>
      <c r="H405" s="67"/>
      <c r="Y405" s="67"/>
      <c r="BF405" s="67"/>
      <c r="BG405" s="67"/>
      <c r="BH405" s="67"/>
      <c r="BI405" s="67"/>
      <c r="BJ405" s="106"/>
    </row>
    <row r="406" spans="1:62" s="92" customFormat="1" x14ac:dyDescent="0.2">
      <c r="A406" s="67"/>
      <c r="B406" s="67"/>
      <c r="H406" s="67"/>
      <c r="Y406" s="67"/>
      <c r="BF406" s="67"/>
      <c r="BG406" s="67"/>
      <c r="BH406" s="67"/>
      <c r="BI406" s="67"/>
      <c r="BJ406" s="106"/>
    </row>
    <row r="407" spans="1:62" s="92" customFormat="1" x14ac:dyDescent="0.2">
      <c r="A407" s="67"/>
      <c r="B407" s="67"/>
      <c r="H407" s="67"/>
      <c r="Y407" s="67"/>
      <c r="BF407" s="67"/>
      <c r="BG407" s="67"/>
      <c r="BH407" s="67"/>
      <c r="BI407" s="67"/>
      <c r="BJ407" s="106"/>
    </row>
    <row r="408" spans="1:62" s="92" customFormat="1" x14ac:dyDescent="0.2">
      <c r="A408" s="67"/>
      <c r="B408" s="67"/>
      <c r="H408" s="67"/>
      <c r="Y408" s="67"/>
      <c r="BF408" s="67"/>
      <c r="BG408" s="67"/>
      <c r="BH408" s="67"/>
      <c r="BI408" s="67"/>
      <c r="BJ408" s="106"/>
    </row>
    <row r="409" spans="1:62" s="92" customFormat="1" x14ac:dyDescent="0.2">
      <c r="A409" s="67"/>
      <c r="B409" s="67"/>
      <c r="H409" s="67"/>
      <c r="Y409" s="67"/>
      <c r="BF409" s="67"/>
      <c r="BG409" s="67"/>
      <c r="BH409" s="67"/>
      <c r="BI409" s="67"/>
      <c r="BJ409" s="106"/>
    </row>
    <row r="410" spans="1:62" s="92" customFormat="1" x14ac:dyDescent="0.2">
      <c r="A410" s="67"/>
      <c r="B410" s="67"/>
      <c r="H410" s="67"/>
      <c r="Y410" s="67"/>
      <c r="BF410" s="67"/>
      <c r="BG410" s="67"/>
      <c r="BH410" s="67"/>
      <c r="BI410" s="67"/>
      <c r="BJ410" s="106"/>
    </row>
    <row r="411" spans="1:62" s="92" customFormat="1" x14ac:dyDescent="0.2">
      <c r="A411" s="67"/>
      <c r="B411" s="67"/>
      <c r="H411" s="67"/>
      <c r="Y411" s="67"/>
      <c r="BF411" s="67"/>
      <c r="BG411" s="67"/>
      <c r="BH411" s="67"/>
      <c r="BI411" s="67"/>
      <c r="BJ411" s="106"/>
    </row>
    <row r="412" spans="1:62" s="92" customFormat="1" x14ac:dyDescent="0.2">
      <c r="A412" s="67"/>
      <c r="B412" s="67"/>
      <c r="H412" s="67"/>
      <c r="Y412" s="67"/>
      <c r="BF412" s="67"/>
      <c r="BG412" s="67"/>
      <c r="BH412" s="67"/>
      <c r="BI412" s="67"/>
      <c r="BJ412" s="106"/>
    </row>
    <row r="413" spans="1:62" s="92" customFormat="1" x14ac:dyDescent="0.2">
      <c r="A413" s="67"/>
      <c r="B413" s="67"/>
      <c r="H413" s="67"/>
      <c r="Y413" s="67"/>
      <c r="BF413" s="67"/>
      <c r="BG413" s="67"/>
      <c r="BH413" s="67"/>
      <c r="BI413" s="67"/>
      <c r="BJ413" s="106"/>
    </row>
    <row r="414" spans="1:62" s="92" customFormat="1" x14ac:dyDescent="0.2">
      <c r="A414" s="67"/>
      <c r="B414" s="67"/>
      <c r="H414" s="67"/>
      <c r="Y414" s="67"/>
      <c r="BF414" s="67"/>
      <c r="BG414" s="67"/>
      <c r="BH414" s="67"/>
      <c r="BI414" s="67"/>
      <c r="BJ414" s="106"/>
    </row>
    <row r="415" spans="1:62" s="92" customFormat="1" x14ac:dyDescent="0.2">
      <c r="A415" s="67"/>
      <c r="B415" s="67"/>
      <c r="H415" s="67"/>
      <c r="Y415" s="67"/>
      <c r="BF415" s="67"/>
      <c r="BG415" s="67"/>
      <c r="BH415" s="67"/>
      <c r="BI415" s="67"/>
      <c r="BJ415" s="106"/>
    </row>
    <row r="416" spans="1:62" s="92" customFormat="1" x14ac:dyDescent="0.2">
      <c r="A416" s="67"/>
      <c r="B416" s="67"/>
      <c r="H416" s="67"/>
      <c r="Y416" s="67"/>
      <c r="BF416" s="67"/>
      <c r="BG416" s="67"/>
      <c r="BH416" s="67"/>
      <c r="BI416" s="67"/>
      <c r="BJ416" s="106"/>
    </row>
    <row r="417" spans="1:62" s="92" customFormat="1" x14ac:dyDescent="0.2">
      <c r="A417" s="67"/>
      <c r="B417" s="67"/>
      <c r="H417" s="67"/>
      <c r="Y417" s="67"/>
      <c r="BF417" s="67"/>
      <c r="BG417" s="67"/>
      <c r="BH417" s="67"/>
      <c r="BI417" s="67"/>
      <c r="BJ417" s="106"/>
    </row>
    <row r="418" spans="1:62" s="92" customFormat="1" x14ac:dyDescent="0.2">
      <c r="A418" s="67"/>
      <c r="B418" s="67"/>
      <c r="H418" s="67"/>
      <c r="Y418" s="67"/>
      <c r="BF418" s="67"/>
      <c r="BG418" s="67"/>
      <c r="BH418" s="67"/>
      <c r="BI418" s="67"/>
      <c r="BJ418" s="106"/>
    </row>
    <row r="419" spans="1:62" s="92" customFormat="1" x14ac:dyDescent="0.2">
      <c r="A419" s="67"/>
      <c r="B419" s="67"/>
      <c r="H419" s="67"/>
      <c r="Y419" s="67"/>
      <c r="BF419" s="67"/>
      <c r="BG419" s="67"/>
      <c r="BH419" s="67"/>
      <c r="BI419" s="67"/>
      <c r="BJ419" s="106"/>
    </row>
    <row r="420" spans="1:62" s="92" customFormat="1" x14ac:dyDescent="0.2">
      <c r="A420" s="67"/>
      <c r="B420" s="67"/>
      <c r="H420" s="67"/>
      <c r="Y420" s="67"/>
      <c r="BF420" s="67"/>
      <c r="BG420" s="67"/>
      <c r="BH420" s="67"/>
      <c r="BI420" s="67"/>
      <c r="BJ420" s="106"/>
    </row>
    <row r="421" spans="1:62" s="92" customFormat="1" x14ac:dyDescent="0.2">
      <c r="A421" s="67"/>
      <c r="B421" s="67"/>
      <c r="H421" s="67"/>
      <c r="Y421" s="67"/>
      <c r="BF421" s="67"/>
      <c r="BG421" s="67"/>
      <c r="BH421" s="67"/>
      <c r="BI421" s="67"/>
      <c r="BJ421" s="106"/>
    </row>
    <row r="422" spans="1:62" s="92" customFormat="1" x14ac:dyDescent="0.2">
      <c r="A422" s="67"/>
      <c r="B422" s="67"/>
      <c r="H422" s="67"/>
      <c r="Y422" s="67"/>
      <c r="BF422" s="67"/>
      <c r="BG422" s="67"/>
      <c r="BH422" s="67"/>
      <c r="BI422" s="67"/>
      <c r="BJ422" s="106"/>
    </row>
    <row r="423" spans="1:62" s="92" customFormat="1" x14ac:dyDescent="0.2">
      <c r="A423" s="67"/>
      <c r="B423" s="67"/>
      <c r="H423" s="67"/>
      <c r="Y423" s="67"/>
      <c r="BF423" s="67"/>
      <c r="BG423" s="67"/>
      <c r="BH423" s="67"/>
      <c r="BI423" s="67"/>
      <c r="BJ423" s="106"/>
    </row>
    <row r="424" spans="1:62" s="92" customFormat="1" x14ac:dyDescent="0.2">
      <c r="A424" s="67"/>
      <c r="B424" s="67"/>
      <c r="H424" s="67"/>
      <c r="Y424" s="67"/>
      <c r="BF424" s="67"/>
      <c r="BG424" s="67"/>
      <c r="BH424" s="67"/>
      <c r="BI424" s="67"/>
      <c r="BJ424" s="106"/>
    </row>
    <row r="425" spans="1:62" s="92" customFormat="1" x14ac:dyDescent="0.2">
      <c r="A425" s="67"/>
      <c r="B425" s="67"/>
      <c r="H425" s="67"/>
      <c r="Y425" s="67"/>
      <c r="BF425" s="67"/>
      <c r="BG425" s="67"/>
      <c r="BH425" s="67"/>
      <c r="BI425" s="67"/>
      <c r="BJ425" s="106"/>
    </row>
    <row r="426" spans="1:62" s="92" customFormat="1" x14ac:dyDescent="0.2">
      <c r="A426" s="67"/>
      <c r="B426" s="67"/>
      <c r="H426" s="67"/>
      <c r="Y426" s="67"/>
      <c r="BF426" s="67"/>
      <c r="BG426" s="67"/>
      <c r="BH426" s="67"/>
      <c r="BI426" s="67"/>
      <c r="BJ426" s="106"/>
    </row>
    <row r="427" spans="1:62" s="92" customFormat="1" x14ac:dyDescent="0.2">
      <c r="A427" s="67"/>
      <c r="B427" s="67"/>
      <c r="H427" s="67"/>
      <c r="Y427" s="67"/>
      <c r="BF427" s="67"/>
      <c r="BG427" s="67"/>
      <c r="BH427" s="67"/>
      <c r="BI427" s="67"/>
      <c r="BJ427" s="106"/>
    </row>
    <row r="428" spans="1:62" s="92" customFormat="1" x14ac:dyDescent="0.2">
      <c r="A428" s="67"/>
      <c r="B428" s="67"/>
      <c r="H428" s="67"/>
      <c r="Y428" s="67"/>
      <c r="BF428" s="67"/>
      <c r="BG428" s="67"/>
      <c r="BH428" s="67"/>
      <c r="BI428" s="67"/>
      <c r="BJ428" s="106"/>
    </row>
    <row r="429" spans="1:62" s="92" customFormat="1" x14ac:dyDescent="0.2">
      <c r="A429" s="67"/>
      <c r="B429" s="67"/>
      <c r="H429" s="67"/>
      <c r="Y429" s="67"/>
      <c r="BF429" s="67"/>
      <c r="BG429" s="67"/>
      <c r="BH429" s="67"/>
      <c r="BI429" s="67"/>
      <c r="BJ429" s="106"/>
    </row>
    <row r="430" spans="1:62" s="92" customFormat="1" x14ac:dyDescent="0.2">
      <c r="A430" s="67"/>
      <c r="B430" s="67"/>
      <c r="H430" s="67"/>
      <c r="Y430" s="67"/>
      <c r="BF430" s="67"/>
      <c r="BG430" s="67"/>
      <c r="BH430" s="67"/>
      <c r="BI430" s="67"/>
      <c r="BJ430" s="106"/>
    </row>
    <row r="431" spans="1:62" s="92" customFormat="1" x14ac:dyDescent="0.2">
      <c r="A431" s="67"/>
      <c r="B431" s="67"/>
      <c r="H431" s="67"/>
      <c r="Y431" s="67"/>
      <c r="BF431" s="67"/>
      <c r="BG431" s="67"/>
      <c r="BH431" s="67"/>
      <c r="BI431" s="67"/>
      <c r="BJ431" s="106"/>
    </row>
    <row r="432" spans="1:62" s="92" customFormat="1" x14ac:dyDescent="0.2">
      <c r="A432" s="67"/>
      <c r="B432" s="67"/>
      <c r="H432" s="67"/>
      <c r="Y432" s="67"/>
      <c r="BF432" s="67"/>
      <c r="BG432" s="67"/>
      <c r="BH432" s="67"/>
      <c r="BI432" s="67"/>
      <c r="BJ432" s="106"/>
    </row>
    <row r="433" spans="1:62" s="92" customFormat="1" x14ac:dyDescent="0.2">
      <c r="A433" s="67"/>
      <c r="B433" s="67"/>
      <c r="H433" s="67"/>
      <c r="Y433" s="67"/>
      <c r="BF433" s="67"/>
      <c r="BG433" s="67"/>
      <c r="BH433" s="67"/>
      <c r="BI433" s="67"/>
      <c r="BJ433" s="106"/>
    </row>
    <row r="434" spans="1:62" s="92" customFormat="1" x14ac:dyDescent="0.2">
      <c r="A434" s="67"/>
      <c r="B434" s="67"/>
      <c r="H434" s="67"/>
      <c r="Y434" s="67"/>
      <c r="BF434" s="67"/>
      <c r="BG434" s="67"/>
      <c r="BH434" s="67"/>
      <c r="BI434" s="67"/>
      <c r="BJ434" s="106"/>
    </row>
    <row r="435" spans="1:62" s="92" customFormat="1" x14ac:dyDescent="0.2">
      <c r="A435" s="67"/>
      <c r="B435" s="67"/>
      <c r="H435" s="67"/>
      <c r="Y435" s="67"/>
      <c r="BF435" s="67"/>
      <c r="BG435" s="67"/>
      <c r="BH435" s="67"/>
      <c r="BI435" s="67"/>
      <c r="BJ435" s="106"/>
    </row>
    <row r="436" spans="1:62" s="92" customFormat="1" x14ac:dyDescent="0.2">
      <c r="A436" s="67"/>
      <c r="B436" s="67"/>
      <c r="H436" s="67"/>
      <c r="Y436" s="67"/>
      <c r="BF436" s="67"/>
      <c r="BG436" s="67"/>
      <c r="BH436" s="67"/>
      <c r="BI436" s="67"/>
      <c r="BJ436" s="106"/>
    </row>
    <row r="437" spans="1:62" s="92" customFormat="1" x14ac:dyDescent="0.2">
      <c r="A437" s="67"/>
      <c r="B437" s="67"/>
      <c r="H437" s="67"/>
      <c r="Y437" s="67"/>
      <c r="BF437" s="67"/>
      <c r="BG437" s="67"/>
      <c r="BH437" s="67"/>
      <c r="BI437" s="67"/>
      <c r="BJ437" s="106"/>
    </row>
    <row r="438" spans="1:62" s="92" customFormat="1" x14ac:dyDescent="0.2">
      <c r="A438" s="67"/>
      <c r="B438" s="67"/>
      <c r="H438" s="67"/>
      <c r="Y438" s="67"/>
      <c r="BF438" s="67"/>
      <c r="BG438" s="67"/>
      <c r="BH438" s="67"/>
      <c r="BI438" s="67"/>
      <c r="BJ438" s="106"/>
    </row>
    <row r="439" spans="1:62" s="92" customFormat="1" x14ac:dyDescent="0.2">
      <c r="A439" s="67"/>
      <c r="B439" s="67"/>
      <c r="H439" s="67"/>
      <c r="Y439" s="67"/>
      <c r="BF439" s="67"/>
      <c r="BG439" s="67"/>
      <c r="BH439" s="67"/>
      <c r="BI439" s="67"/>
      <c r="BJ439" s="106"/>
    </row>
    <row r="440" spans="1:62" s="92" customFormat="1" x14ac:dyDescent="0.2">
      <c r="A440" s="67"/>
      <c r="B440" s="67"/>
      <c r="H440" s="67"/>
      <c r="Y440" s="67"/>
      <c r="BF440" s="67"/>
      <c r="BG440" s="67"/>
      <c r="BH440" s="67"/>
      <c r="BI440" s="67"/>
      <c r="BJ440" s="106"/>
    </row>
    <row r="441" spans="1:62" s="92" customFormat="1" x14ac:dyDescent="0.2">
      <c r="A441" s="67"/>
      <c r="B441" s="67"/>
      <c r="H441" s="67"/>
      <c r="Y441" s="67"/>
      <c r="BF441" s="67"/>
      <c r="BG441" s="67"/>
      <c r="BH441" s="67"/>
      <c r="BI441" s="67"/>
      <c r="BJ441" s="106"/>
    </row>
    <row r="442" spans="1:62" s="92" customFormat="1" x14ac:dyDescent="0.2">
      <c r="A442" s="67"/>
      <c r="B442" s="67"/>
      <c r="H442" s="67"/>
      <c r="Y442" s="67"/>
      <c r="BF442" s="67"/>
      <c r="BG442" s="67"/>
      <c r="BH442" s="67"/>
      <c r="BI442" s="67"/>
      <c r="BJ442" s="106"/>
    </row>
    <row r="443" spans="1:62" s="92" customFormat="1" x14ac:dyDescent="0.2">
      <c r="A443" s="67"/>
      <c r="B443" s="67"/>
      <c r="H443" s="67"/>
      <c r="Y443" s="67"/>
      <c r="BF443" s="67"/>
      <c r="BG443" s="67"/>
      <c r="BH443" s="67"/>
      <c r="BI443" s="67"/>
      <c r="BJ443" s="106"/>
    </row>
    <row r="444" spans="1:62" s="92" customFormat="1" x14ac:dyDescent="0.2">
      <c r="A444" s="67"/>
      <c r="B444" s="67"/>
      <c r="H444" s="67"/>
      <c r="Y444" s="67"/>
      <c r="BF444" s="67"/>
      <c r="BG444" s="67"/>
      <c r="BH444" s="67"/>
      <c r="BI444" s="67"/>
      <c r="BJ444" s="106"/>
    </row>
    <row r="445" spans="1:62" s="92" customFormat="1" x14ac:dyDescent="0.2">
      <c r="A445" s="67"/>
      <c r="B445" s="67"/>
      <c r="H445" s="67"/>
      <c r="Y445" s="67"/>
      <c r="BF445" s="67"/>
      <c r="BG445" s="67"/>
      <c r="BH445" s="67"/>
      <c r="BI445" s="67"/>
      <c r="BJ445" s="106"/>
    </row>
    <row r="446" spans="1:62" s="92" customFormat="1" x14ac:dyDescent="0.2">
      <c r="A446" s="67"/>
      <c r="B446" s="67"/>
      <c r="H446" s="67"/>
      <c r="Y446" s="67"/>
      <c r="BF446" s="67"/>
      <c r="BG446" s="67"/>
      <c r="BH446" s="67"/>
      <c r="BI446" s="67"/>
      <c r="BJ446" s="106"/>
    </row>
    <row r="447" spans="1:62" s="92" customFormat="1" x14ac:dyDescent="0.2">
      <c r="A447" s="67"/>
      <c r="B447" s="67"/>
      <c r="H447" s="67"/>
      <c r="Y447" s="67"/>
      <c r="BF447" s="67"/>
      <c r="BG447" s="67"/>
      <c r="BH447" s="67"/>
      <c r="BI447" s="67"/>
      <c r="BJ447" s="106"/>
    </row>
    <row r="448" spans="1:62" s="92" customFormat="1" x14ac:dyDescent="0.2">
      <c r="A448" s="67"/>
      <c r="B448" s="67"/>
      <c r="H448" s="67"/>
      <c r="Y448" s="67"/>
      <c r="BF448" s="67"/>
      <c r="BG448" s="67"/>
      <c r="BH448" s="67"/>
      <c r="BI448" s="67"/>
      <c r="BJ448" s="106"/>
    </row>
    <row r="449" spans="1:62" s="92" customFormat="1" x14ac:dyDescent="0.2">
      <c r="A449" s="67"/>
      <c r="B449" s="67"/>
      <c r="H449" s="67"/>
      <c r="Y449" s="67"/>
      <c r="BF449" s="67"/>
      <c r="BG449" s="67"/>
      <c r="BH449" s="67"/>
      <c r="BI449" s="67"/>
      <c r="BJ449" s="106"/>
    </row>
    <row r="450" spans="1:62" s="92" customFormat="1" x14ac:dyDescent="0.2">
      <c r="A450" s="67"/>
      <c r="B450" s="67"/>
      <c r="H450" s="67"/>
      <c r="Y450" s="67"/>
      <c r="BF450" s="67"/>
      <c r="BG450" s="67"/>
      <c r="BH450" s="67"/>
      <c r="BI450" s="67"/>
      <c r="BJ450" s="106"/>
    </row>
    <row r="451" spans="1:62" s="92" customFormat="1" x14ac:dyDescent="0.2">
      <c r="A451" s="67"/>
      <c r="B451" s="67"/>
      <c r="H451" s="67"/>
      <c r="Y451" s="67"/>
      <c r="BF451" s="67"/>
      <c r="BG451" s="67"/>
      <c r="BH451" s="67"/>
      <c r="BI451" s="67"/>
      <c r="BJ451" s="106"/>
    </row>
    <row r="452" spans="1:62" s="92" customFormat="1" x14ac:dyDescent="0.2">
      <c r="A452" s="67"/>
      <c r="B452" s="67"/>
      <c r="H452" s="67"/>
      <c r="Y452" s="67"/>
      <c r="BF452" s="67"/>
      <c r="BG452" s="67"/>
      <c r="BH452" s="67"/>
      <c r="BI452" s="67"/>
      <c r="BJ452" s="106"/>
    </row>
    <row r="453" spans="1:62" s="92" customFormat="1" x14ac:dyDescent="0.2">
      <c r="A453" s="67"/>
      <c r="B453" s="67"/>
      <c r="H453" s="67"/>
      <c r="Y453" s="67"/>
      <c r="BF453" s="67"/>
      <c r="BG453" s="67"/>
      <c r="BH453" s="67"/>
      <c r="BI453" s="67"/>
      <c r="BJ453" s="106"/>
    </row>
    <row r="454" spans="1:62" s="92" customFormat="1" x14ac:dyDescent="0.2">
      <c r="A454" s="67"/>
      <c r="B454" s="67"/>
      <c r="H454" s="67"/>
      <c r="Y454" s="67"/>
      <c r="BF454" s="67"/>
      <c r="BG454" s="67"/>
      <c r="BH454" s="67"/>
      <c r="BI454" s="67"/>
      <c r="BJ454" s="106"/>
    </row>
    <row r="455" spans="1:62" s="92" customFormat="1" x14ac:dyDescent="0.2">
      <c r="A455" s="67"/>
      <c r="B455" s="67"/>
      <c r="H455" s="67"/>
      <c r="Y455" s="67"/>
      <c r="BF455" s="67"/>
      <c r="BG455" s="67"/>
      <c r="BH455" s="67"/>
      <c r="BI455" s="67"/>
      <c r="BJ455" s="106"/>
    </row>
    <row r="456" spans="1:62" s="92" customFormat="1" x14ac:dyDescent="0.2">
      <c r="A456" s="67"/>
      <c r="B456" s="67"/>
      <c r="H456" s="67"/>
      <c r="Y456" s="67"/>
      <c r="BF456" s="67"/>
      <c r="BG456" s="67"/>
      <c r="BH456" s="67"/>
      <c r="BI456" s="67"/>
      <c r="BJ456" s="106"/>
    </row>
    <row r="457" spans="1:62" s="92" customFormat="1" x14ac:dyDescent="0.2">
      <c r="A457" s="67"/>
      <c r="B457" s="67"/>
      <c r="H457" s="67"/>
      <c r="Y457" s="67"/>
      <c r="BF457" s="67"/>
      <c r="BG457" s="67"/>
      <c r="BH457" s="67"/>
      <c r="BI457" s="67"/>
      <c r="BJ457" s="106"/>
    </row>
    <row r="458" spans="1:62" s="92" customFormat="1" x14ac:dyDescent="0.2">
      <c r="A458" s="67"/>
      <c r="B458" s="67"/>
      <c r="H458" s="67"/>
      <c r="Y458" s="67"/>
      <c r="BF458" s="67"/>
      <c r="BG458" s="67"/>
      <c r="BH458" s="67"/>
      <c r="BI458" s="67"/>
      <c r="BJ458" s="106"/>
    </row>
    <row r="459" spans="1:62" s="92" customFormat="1" x14ac:dyDescent="0.2">
      <c r="A459" s="67"/>
      <c r="B459" s="67"/>
      <c r="H459" s="67"/>
      <c r="Y459" s="67"/>
      <c r="BF459" s="67"/>
      <c r="BG459" s="67"/>
      <c r="BH459" s="67"/>
      <c r="BI459" s="67"/>
      <c r="BJ459" s="106"/>
    </row>
    <row r="460" spans="1:62" s="92" customFormat="1" x14ac:dyDescent="0.2">
      <c r="A460" s="67"/>
      <c r="B460" s="67"/>
      <c r="H460" s="67"/>
      <c r="Y460" s="67"/>
      <c r="BF460" s="67"/>
      <c r="BG460" s="67"/>
      <c r="BH460" s="67"/>
      <c r="BI460" s="67"/>
      <c r="BJ460" s="106"/>
    </row>
    <row r="461" spans="1:62" s="92" customFormat="1" x14ac:dyDescent="0.2">
      <c r="A461" s="67"/>
      <c r="B461" s="67"/>
      <c r="H461" s="67"/>
      <c r="Y461" s="67"/>
      <c r="BF461" s="67"/>
      <c r="BG461" s="67"/>
      <c r="BH461" s="67"/>
      <c r="BI461" s="67"/>
      <c r="BJ461" s="106"/>
    </row>
    <row r="462" spans="1:62" s="92" customFormat="1" x14ac:dyDescent="0.2">
      <c r="A462" s="67"/>
      <c r="B462" s="67"/>
      <c r="H462" s="67"/>
      <c r="Y462" s="67"/>
      <c r="BF462" s="67"/>
      <c r="BG462" s="67"/>
      <c r="BH462" s="67"/>
      <c r="BI462" s="67"/>
      <c r="BJ462" s="106"/>
    </row>
    <row r="463" spans="1:62" s="92" customFormat="1" x14ac:dyDescent="0.2">
      <c r="A463" s="67"/>
      <c r="B463" s="67"/>
      <c r="H463" s="67"/>
      <c r="Y463" s="67"/>
      <c r="BF463" s="67"/>
      <c r="BG463" s="67"/>
      <c r="BH463" s="67"/>
      <c r="BI463" s="67"/>
      <c r="BJ463" s="106"/>
    </row>
    <row r="464" spans="1:62" s="92" customFormat="1" x14ac:dyDescent="0.2">
      <c r="A464" s="67"/>
      <c r="B464" s="67"/>
      <c r="H464" s="67"/>
      <c r="Y464" s="67"/>
      <c r="BF464" s="67"/>
      <c r="BG464" s="67"/>
      <c r="BH464" s="67"/>
      <c r="BI464" s="67"/>
      <c r="BJ464" s="106"/>
    </row>
    <row r="465" spans="1:62" s="92" customFormat="1" x14ac:dyDescent="0.2">
      <c r="A465" s="67"/>
      <c r="B465" s="67"/>
      <c r="H465" s="67"/>
      <c r="Y465" s="67"/>
      <c r="BF465" s="67"/>
      <c r="BG465" s="67"/>
      <c r="BH465" s="67"/>
      <c r="BI465" s="67"/>
      <c r="BJ465" s="106"/>
    </row>
    <row r="466" spans="1:62" s="92" customFormat="1" x14ac:dyDescent="0.2">
      <c r="A466" s="67"/>
      <c r="B466" s="67"/>
      <c r="H466" s="67"/>
      <c r="Y466" s="67"/>
      <c r="BF466" s="67"/>
      <c r="BG466" s="67"/>
      <c r="BH466" s="67"/>
      <c r="BI466" s="67"/>
      <c r="BJ466" s="106"/>
    </row>
    <row r="467" spans="1:62" s="92" customFormat="1" x14ac:dyDescent="0.2">
      <c r="A467" s="67"/>
      <c r="B467" s="67"/>
      <c r="H467" s="67"/>
      <c r="Y467" s="67"/>
      <c r="BF467" s="67"/>
      <c r="BG467" s="67"/>
      <c r="BH467" s="67"/>
      <c r="BI467" s="67"/>
      <c r="BJ467" s="106"/>
    </row>
    <row r="468" spans="1:62" s="92" customFormat="1" x14ac:dyDescent="0.2">
      <c r="A468" s="67"/>
      <c r="B468" s="67"/>
      <c r="H468" s="67"/>
      <c r="Y468" s="67"/>
      <c r="BF468" s="67"/>
      <c r="BG468" s="67"/>
      <c r="BH468" s="67"/>
      <c r="BI468" s="67"/>
      <c r="BJ468" s="106"/>
    </row>
    <row r="469" spans="1:62" s="92" customFormat="1" x14ac:dyDescent="0.2">
      <c r="A469" s="67"/>
      <c r="B469" s="67"/>
      <c r="H469" s="67"/>
      <c r="Y469" s="67"/>
      <c r="BF469" s="67"/>
      <c r="BG469" s="67"/>
      <c r="BH469" s="67"/>
      <c r="BI469" s="67"/>
      <c r="BJ469" s="106"/>
    </row>
    <row r="470" spans="1:62" s="92" customFormat="1" x14ac:dyDescent="0.2">
      <c r="A470" s="67"/>
      <c r="B470" s="67"/>
      <c r="H470" s="67"/>
      <c r="Y470" s="67"/>
      <c r="BF470" s="67"/>
      <c r="BG470" s="67"/>
      <c r="BH470" s="67"/>
      <c r="BI470" s="67"/>
      <c r="BJ470" s="106"/>
    </row>
    <row r="471" spans="1:62" s="92" customFormat="1" x14ac:dyDescent="0.2">
      <c r="A471" s="67"/>
      <c r="B471" s="67"/>
      <c r="H471" s="67"/>
      <c r="Y471" s="67"/>
      <c r="BF471" s="67"/>
      <c r="BG471" s="67"/>
      <c r="BH471" s="67"/>
      <c r="BI471" s="67"/>
      <c r="BJ471" s="106"/>
    </row>
    <row r="472" spans="1:62" s="92" customFormat="1" x14ac:dyDescent="0.2">
      <c r="A472" s="67"/>
      <c r="B472" s="67"/>
      <c r="H472" s="67"/>
      <c r="Y472" s="67"/>
      <c r="BF472" s="67"/>
      <c r="BG472" s="67"/>
      <c r="BH472" s="67"/>
      <c r="BI472" s="67"/>
      <c r="BJ472" s="106"/>
    </row>
    <row r="473" spans="1:62" s="92" customFormat="1" x14ac:dyDescent="0.2">
      <c r="A473" s="67"/>
      <c r="B473" s="67"/>
      <c r="H473" s="67"/>
      <c r="Y473" s="67"/>
      <c r="BF473" s="67"/>
      <c r="BG473" s="67"/>
      <c r="BH473" s="67"/>
      <c r="BI473" s="67"/>
      <c r="BJ473" s="106"/>
    </row>
    <row r="474" spans="1:62" s="92" customFormat="1" x14ac:dyDescent="0.2">
      <c r="A474" s="67"/>
      <c r="B474" s="67"/>
      <c r="H474" s="67"/>
      <c r="Y474" s="67"/>
      <c r="BF474" s="67"/>
      <c r="BG474" s="67"/>
      <c r="BH474" s="67"/>
      <c r="BI474" s="67"/>
      <c r="BJ474" s="106"/>
    </row>
    <row r="475" spans="1:62" s="92" customFormat="1" x14ac:dyDescent="0.2">
      <c r="A475" s="67"/>
      <c r="B475" s="67"/>
      <c r="H475" s="67"/>
      <c r="Y475" s="67"/>
      <c r="BF475" s="67"/>
      <c r="BG475" s="67"/>
      <c r="BH475" s="67"/>
      <c r="BI475" s="67"/>
      <c r="BJ475" s="106"/>
    </row>
    <row r="476" spans="1:62" s="92" customFormat="1" x14ac:dyDescent="0.2">
      <c r="A476" s="67"/>
      <c r="B476" s="67"/>
      <c r="H476" s="67"/>
      <c r="Y476" s="67"/>
      <c r="BF476" s="67"/>
      <c r="BG476" s="67"/>
      <c r="BH476" s="67"/>
      <c r="BI476" s="67"/>
      <c r="BJ476" s="106"/>
    </row>
    <row r="477" spans="1:62" s="92" customFormat="1" x14ac:dyDescent="0.2">
      <c r="A477" s="67"/>
      <c r="B477" s="67"/>
      <c r="H477" s="67"/>
      <c r="Y477" s="67"/>
      <c r="BF477" s="67"/>
      <c r="BG477" s="67"/>
      <c r="BH477" s="67"/>
      <c r="BI477" s="67"/>
      <c r="BJ477" s="106"/>
    </row>
    <row r="478" spans="1:62" s="92" customFormat="1" x14ac:dyDescent="0.2">
      <c r="A478" s="67"/>
      <c r="B478" s="67"/>
      <c r="H478" s="67"/>
      <c r="Y478" s="67"/>
      <c r="BF478" s="67"/>
      <c r="BG478" s="67"/>
      <c r="BH478" s="67"/>
      <c r="BI478" s="67"/>
      <c r="BJ478" s="106"/>
    </row>
    <row r="479" spans="1:62" s="92" customFormat="1" x14ac:dyDescent="0.2">
      <c r="A479" s="67"/>
      <c r="B479" s="67"/>
      <c r="H479" s="67"/>
      <c r="Y479" s="67"/>
      <c r="BF479" s="67"/>
      <c r="BG479" s="67"/>
      <c r="BH479" s="67"/>
      <c r="BI479" s="67"/>
      <c r="BJ479" s="106"/>
    </row>
    <row r="480" spans="1:62" s="92" customFormat="1" x14ac:dyDescent="0.2">
      <c r="A480" s="67"/>
      <c r="B480" s="67"/>
      <c r="H480" s="67"/>
      <c r="Y480" s="67"/>
      <c r="BF480" s="67"/>
      <c r="BG480" s="67"/>
      <c r="BH480" s="67"/>
      <c r="BI480" s="67"/>
      <c r="BJ480" s="106"/>
    </row>
    <row r="481" spans="1:62" s="92" customFormat="1" x14ac:dyDescent="0.2">
      <c r="A481" s="67"/>
      <c r="B481" s="67"/>
      <c r="H481" s="67"/>
      <c r="Y481" s="67"/>
      <c r="BF481" s="67"/>
      <c r="BG481" s="67"/>
      <c r="BH481" s="67"/>
      <c r="BI481" s="67"/>
      <c r="BJ481" s="106"/>
    </row>
    <row r="482" spans="1:62" s="92" customFormat="1" x14ac:dyDescent="0.2">
      <c r="A482" s="67"/>
      <c r="B482" s="67"/>
      <c r="H482" s="67"/>
      <c r="Y482" s="67"/>
      <c r="BF482" s="67"/>
      <c r="BG482" s="67"/>
      <c r="BH482" s="67"/>
      <c r="BI482" s="67"/>
      <c r="BJ482" s="106"/>
    </row>
    <row r="483" spans="1:62" s="92" customFormat="1" x14ac:dyDescent="0.2">
      <c r="A483" s="67"/>
      <c r="B483" s="67"/>
      <c r="H483" s="67"/>
      <c r="Y483" s="67"/>
      <c r="BF483" s="67"/>
      <c r="BG483" s="67"/>
      <c r="BH483" s="67"/>
      <c r="BI483" s="67"/>
      <c r="BJ483" s="106"/>
    </row>
    <row r="484" spans="1:62" s="92" customFormat="1" x14ac:dyDescent="0.2">
      <c r="A484" s="67"/>
      <c r="B484" s="67"/>
      <c r="H484" s="67"/>
      <c r="Y484" s="67"/>
      <c r="BF484" s="67"/>
      <c r="BG484" s="67"/>
      <c r="BH484" s="67"/>
      <c r="BI484" s="67"/>
      <c r="BJ484" s="106"/>
    </row>
    <row r="485" spans="1:62" s="92" customFormat="1" x14ac:dyDescent="0.2">
      <c r="A485" s="67"/>
      <c r="B485" s="67"/>
      <c r="H485" s="67"/>
      <c r="Y485" s="67"/>
      <c r="BF485" s="67"/>
      <c r="BG485" s="67"/>
      <c r="BH485" s="67"/>
      <c r="BI485" s="67"/>
      <c r="BJ485" s="106"/>
    </row>
    <row r="486" spans="1:62" s="92" customFormat="1" x14ac:dyDescent="0.2">
      <c r="A486" s="67"/>
      <c r="B486" s="67"/>
      <c r="H486" s="67"/>
      <c r="Y486" s="67"/>
      <c r="BF486" s="67"/>
      <c r="BG486" s="67"/>
      <c r="BH486" s="67"/>
      <c r="BI486" s="67"/>
      <c r="BJ486" s="106"/>
    </row>
    <row r="487" spans="1:62" s="92" customFormat="1" x14ac:dyDescent="0.2">
      <c r="A487" s="67"/>
      <c r="B487" s="67"/>
      <c r="H487" s="67"/>
      <c r="Y487" s="67"/>
      <c r="BF487" s="67"/>
      <c r="BG487" s="67"/>
      <c r="BH487" s="67"/>
      <c r="BI487" s="67"/>
      <c r="BJ487" s="106"/>
    </row>
    <row r="488" spans="1:62" s="92" customFormat="1" x14ac:dyDescent="0.2">
      <c r="A488" s="67"/>
      <c r="B488" s="67"/>
      <c r="H488" s="67"/>
      <c r="Y488" s="67"/>
      <c r="BF488" s="67"/>
      <c r="BG488" s="67"/>
      <c r="BH488" s="67"/>
      <c r="BI488" s="67"/>
      <c r="BJ488" s="106"/>
    </row>
    <row r="489" spans="1:62" s="92" customFormat="1" x14ac:dyDescent="0.2">
      <c r="A489" s="67"/>
      <c r="B489" s="67"/>
      <c r="H489" s="67"/>
      <c r="Y489" s="67"/>
      <c r="BF489" s="67"/>
      <c r="BG489" s="67"/>
      <c r="BH489" s="67"/>
      <c r="BI489" s="67"/>
      <c r="BJ489" s="106"/>
    </row>
    <row r="490" spans="1:62" s="92" customFormat="1" x14ac:dyDescent="0.2">
      <c r="A490" s="67"/>
      <c r="B490" s="67"/>
      <c r="H490" s="67"/>
      <c r="Y490" s="67"/>
      <c r="BF490" s="67"/>
      <c r="BG490" s="67"/>
      <c r="BH490" s="67"/>
      <c r="BI490" s="67"/>
      <c r="BJ490" s="106"/>
    </row>
    <row r="491" spans="1:62" s="92" customFormat="1" x14ac:dyDescent="0.2">
      <c r="A491" s="67"/>
      <c r="B491" s="67"/>
      <c r="H491" s="67"/>
      <c r="Y491" s="67"/>
      <c r="BF491" s="67"/>
      <c r="BG491" s="67"/>
      <c r="BH491" s="67"/>
      <c r="BI491" s="67"/>
      <c r="BJ491" s="106"/>
    </row>
    <row r="492" spans="1:62" s="92" customFormat="1" x14ac:dyDescent="0.2">
      <c r="A492" s="67"/>
      <c r="B492" s="67"/>
      <c r="H492" s="67"/>
      <c r="Y492" s="67"/>
      <c r="BF492" s="67"/>
      <c r="BG492" s="67"/>
      <c r="BH492" s="67"/>
      <c r="BI492" s="67"/>
      <c r="BJ492" s="106"/>
    </row>
    <row r="493" spans="1:62" s="92" customFormat="1" x14ac:dyDescent="0.2">
      <c r="A493" s="67"/>
      <c r="B493" s="67"/>
      <c r="H493" s="67"/>
      <c r="Y493" s="67"/>
      <c r="BF493" s="67"/>
      <c r="BG493" s="67"/>
      <c r="BH493" s="67"/>
      <c r="BI493" s="67"/>
      <c r="BJ493" s="106"/>
    </row>
    <row r="494" spans="1:62" s="92" customFormat="1" x14ac:dyDescent="0.2">
      <c r="A494" s="67"/>
      <c r="B494" s="67"/>
      <c r="H494" s="67"/>
      <c r="Y494" s="67"/>
      <c r="BF494" s="67"/>
      <c r="BG494" s="67"/>
      <c r="BH494" s="67"/>
      <c r="BI494" s="67"/>
      <c r="BJ494" s="106"/>
    </row>
    <row r="495" spans="1:62" s="92" customFormat="1" x14ac:dyDescent="0.2">
      <c r="A495" s="67"/>
      <c r="B495" s="67"/>
      <c r="H495" s="67"/>
      <c r="Y495" s="67"/>
      <c r="BF495" s="67"/>
      <c r="BG495" s="67"/>
      <c r="BH495" s="67"/>
      <c r="BI495" s="67"/>
      <c r="BJ495" s="106"/>
    </row>
    <row r="496" spans="1:62" s="92" customFormat="1" x14ac:dyDescent="0.2">
      <c r="A496" s="67"/>
      <c r="B496" s="67"/>
      <c r="H496" s="67"/>
      <c r="Y496" s="67"/>
      <c r="BF496" s="67"/>
      <c r="BG496" s="67"/>
      <c r="BH496" s="67"/>
      <c r="BI496" s="67"/>
      <c r="BJ496" s="106"/>
    </row>
    <row r="497" spans="1:62" s="92" customFormat="1" x14ac:dyDescent="0.2">
      <c r="A497" s="67"/>
      <c r="B497" s="67"/>
      <c r="H497" s="67"/>
      <c r="Y497" s="67"/>
      <c r="BF497" s="67"/>
      <c r="BG497" s="67"/>
      <c r="BH497" s="67"/>
      <c r="BI497" s="67"/>
      <c r="BJ497" s="106"/>
    </row>
    <row r="498" spans="1:62" s="92" customFormat="1" x14ac:dyDescent="0.2">
      <c r="A498" s="67"/>
      <c r="B498" s="67"/>
      <c r="H498" s="67"/>
      <c r="Y498" s="67"/>
      <c r="BF498" s="67"/>
      <c r="BG498" s="67"/>
      <c r="BH498" s="67"/>
      <c r="BI498" s="67"/>
      <c r="BJ498" s="106"/>
    </row>
    <row r="499" spans="1:62" s="92" customFormat="1" x14ac:dyDescent="0.2">
      <c r="A499" s="67"/>
      <c r="B499" s="67"/>
      <c r="H499" s="67"/>
      <c r="Y499" s="67"/>
      <c r="BF499" s="67"/>
      <c r="BG499" s="67"/>
      <c r="BH499" s="67"/>
      <c r="BI499" s="67"/>
      <c r="BJ499" s="106"/>
    </row>
    <row r="500" spans="1:62" s="92" customFormat="1" x14ac:dyDescent="0.2">
      <c r="A500" s="67"/>
      <c r="B500" s="67"/>
      <c r="H500" s="67"/>
      <c r="Y500" s="67"/>
      <c r="BF500" s="67"/>
      <c r="BG500" s="67"/>
      <c r="BH500" s="67"/>
      <c r="BI500" s="67"/>
      <c r="BJ500" s="106"/>
    </row>
    <row r="501" spans="1:62" s="92" customFormat="1" x14ac:dyDescent="0.2">
      <c r="A501" s="67"/>
      <c r="B501" s="67"/>
      <c r="H501" s="67"/>
      <c r="Y501" s="67"/>
      <c r="BF501" s="67"/>
      <c r="BG501" s="67"/>
      <c r="BH501" s="67"/>
      <c r="BI501" s="67"/>
      <c r="BJ501" s="106"/>
    </row>
    <row r="502" spans="1:62" s="92" customFormat="1" x14ac:dyDescent="0.2">
      <c r="A502" s="67"/>
      <c r="B502" s="67"/>
      <c r="H502" s="67"/>
      <c r="Y502" s="67"/>
      <c r="BF502" s="67"/>
      <c r="BG502" s="67"/>
      <c r="BH502" s="67"/>
      <c r="BI502" s="67"/>
      <c r="BJ502" s="106"/>
    </row>
    <row r="503" spans="1:62" s="92" customFormat="1" x14ac:dyDescent="0.2">
      <c r="A503" s="67"/>
      <c r="B503" s="67"/>
      <c r="H503" s="67"/>
      <c r="Y503" s="67"/>
      <c r="BF503" s="67"/>
      <c r="BG503" s="67"/>
      <c r="BH503" s="67"/>
      <c r="BI503" s="67"/>
      <c r="BJ503" s="106"/>
    </row>
    <row r="504" spans="1:62" s="92" customFormat="1" x14ac:dyDescent="0.2">
      <c r="A504" s="67"/>
      <c r="B504" s="67"/>
      <c r="H504" s="67"/>
      <c r="Y504" s="67"/>
      <c r="BF504" s="67"/>
      <c r="BG504" s="67"/>
      <c r="BH504" s="67"/>
      <c r="BI504" s="67"/>
      <c r="BJ504" s="106"/>
    </row>
    <row r="505" spans="1:62" s="92" customFormat="1" x14ac:dyDescent="0.2">
      <c r="A505" s="67"/>
      <c r="B505" s="67"/>
      <c r="H505" s="67"/>
      <c r="Y505" s="67"/>
      <c r="BF505" s="67"/>
      <c r="BG505" s="67"/>
      <c r="BH505" s="67"/>
      <c r="BI505" s="67"/>
      <c r="BJ505" s="106"/>
    </row>
    <row r="506" spans="1:62" s="92" customFormat="1" x14ac:dyDescent="0.2">
      <c r="A506" s="67"/>
      <c r="B506" s="67"/>
      <c r="H506" s="67"/>
      <c r="Y506" s="67"/>
      <c r="BF506" s="67"/>
      <c r="BG506" s="67"/>
      <c r="BH506" s="67"/>
      <c r="BI506" s="67"/>
      <c r="BJ506" s="106"/>
    </row>
    <row r="507" spans="1:62" s="92" customFormat="1" x14ac:dyDescent="0.2">
      <c r="A507" s="67"/>
      <c r="B507" s="67"/>
      <c r="H507" s="67"/>
      <c r="Y507" s="67"/>
      <c r="BF507" s="67"/>
      <c r="BG507" s="67"/>
      <c r="BH507" s="67"/>
      <c r="BI507" s="67"/>
      <c r="BJ507" s="106"/>
    </row>
    <row r="508" spans="1:62" s="92" customFormat="1" x14ac:dyDescent="0.2">
      <c r="A508" s="67"/>
      <c r="B508" s="67"/>
      <c r="H508" s="67"/>
      <c r="Y508" s="67"/>
      <c r="BF508" s="67"/>
      <c r="BG508" s="67"/>
      <c r="BH508" s="67"/>
      <c r="BI508" s="67"/>
      <c r="BJ508" s="106"/>
    </row>
    <row r="509" spans="1:62" s="92" customFormat="1" x14ac:dyDescent="0.2">
      <c r="A509" s="67"/>
      <c r="B509" s="67"/>
      <c r="H509" s="67"/>
      <c r="Y509" s="67"/>
      <c r="BF509" s="67"/>
      <c r="BG509" s="67"/>
      <c r="BH509" s="67"/>
      <c r="BI509" s="67"/>
      <c r="BJ509" s="106"/>
    </row>
    <row r="510" spans="1:62" s="92" customFormat="1" x14ac:dyDescent="0.2">
      <c r="A510" s="67"/>
      <c r="B510" s="67"/>
      <c r="H510" s="67"/>
      <c r="Y510" s="67"/>
      <c r="BF510" s="67"/>
      <c r="BG510" s="67"/>
      <c r="BH510" s="67"/>
      <c r="BI510" s="67"/>
      <c r="BJ510" s="106"/>
    </row>
    <row r="511" spans="1:62" s="92" customFormat="1" x14ac:dyDescent="0.2">
      <c r="A511" s="67"/>
      <c r="B511" s="67"/>
      <c r="H511" s="67"/>
      <c r="Y511" s="67"/>
      <c r="BF511" s="67"/>
      <c r="BG511" s="67"/>
      <c r="BH511" s="67"/>
      <c r="BI511" s="67"/>
      <c r="BJ511" s="106"/>
    </row>
    <row r="512" spans="1:62" s="92" customFormat="1" x14ac:dyDescent="0.2">
      <c r="A512" s="67"/>
      <c r="B512" s="67"/>
      <c r="H512" s="67"/>
      <c r="Y512" s="67"/>
      <c r="BF512" s="67"/>
      <c r="BG512" s="67"/>
      <c r="BH512" s="67"/>
      <c r="BI512" s="67"/>
      <c r="BJ512" s="106"/>
    </row>
    <row r="513" spans="1:62" s="92" customFormat="1" x14ac:dyDescent="0.2">
      <c r="A513" s="67"/>
      <c r="B513" s="67"/>
      <c r="H513" s="67"/>
      <c r="Y513" s="67"/>
      <c r="BF513" s="67"/>
      <c r="BG513" s="67"/>
      <c r="BH513" s="67"/>
      <c r="BI513" s="67"/>
      <c r="BJ513" s="106"/>
    </row>
    <row r="514" spans="1:62" s="92" customFormat="1" x14ac:dyDescent="0.2">
      <c r="A514" s="67"/>
      <c r="B514" s="67"/>
      <c r="H514" s="67"/>
      <c r="Y514" s="67"/>
      <c r="BF514" s="67"/>
      <c r="BG514" s="67"/>
      <c r="BH514" s="67"/>
      <c r="BI514" s="67"/>
      <c r="BJ514" s="106"/>
    </row>
    <row r="515" spans="1:62" s="92" customFormat="1" x14ac:dyDescent="0.2">
      <c r="A515" s="67"/>
      <c r="B515" s="67"/>
      <c r="H515" s="67"/>
      <c r="Y515" s="67"/>
      <c r="BF515" s="67"/>
      <c r="BG515" s="67"/>
      <c r="BH515" s="67"/>
      <c r="BI515" s="67"/>
      <c r="BJ515" s="106"/>
    </row>
    <row r="516" spans="1:62" s="92" customFormat="1" x14ac:dyDescent="0.2">
      <c r="A516" s="67"/>
      <c r="B516" s="67"/>
      <c r="H516" s="67"/>
      <c r="Y516" s="67"/>
      <c r="BF516" s="67"/>
      <c r="BG516" s="67"/>
      <c r="BH516" s="67"/>
      <c r="BI516" s="67"/>
      <c r="BJ516" s="106"/>
    </row>
    <row r="517" spans="1:62" s="92" customFormat="1" x14ac:dyDescent="0.2">
      <c r="A517" s="67"/>
      <c r="B517" s="67"/>
      <c r="H517" s="67"/>
      <c r="Y517" s="67"/>
      <c r="BF517" s="67"/>
      <c r="BG517" s="67"/>
      <c r="BH517" s="67"/>
      <c r="BI517" s="67"/>
      <c r="BJ517" s="106"/>
    </row>
    <row r="518" spans="1:62" s="92" customFormat="1" x14ac:dyDescent="0.2">
      <c r="A518" s="67"/>
      <c r="B518" s="67"/>
      <c r="H518" s="67"/>
      <c r="Y518" s="67"/>
      <c r="BF518" s="67"/>
      <c r="BG518" s="67"/>
      <c r="BH518" s="67"/>
      <c r="BI518" s="67"/>
      <c r="BJ518" s="106"/>
    </row>
    <row r="519" spans="1:62" s="92" customFormat="1" x14ac:dyDescent="0.2">
      <c r="A519" s="67"/>
      <c r="B519" s="67"/>
      <c r="H519" s="67"/>
      <c r="Y519" s="67"/>
      <c r="BF519" s="67"/>
      <c r="BG519" s="67"/>
      <c r="BH519" s="67"/>
      <c r="BI519" s="67"/>
      <c r="BJ519" s="106"/>
    </row>
    <row r="520" spans="1:62" s="92" customFormat="1" x14ac:dyDescent="0.2">
      <c r="A520" s="67"/>
      <c r="B520" s="67"/>
      <c r="H520" s="67"/>
      <c r="Y520" s="67"/>
      <c r="BF520" s="67"/>
      <c r="BG520" s="67"/>
      <c r="BH520" s="67"/>
      <c r="BI520" s="67"/>
      <c r="BJ520" s="106"/>
    </row>
    <row r="521" spans="1:62" s="92" customFormat="1" x14ac:dyDescent="0.2">
      <c r="A521" s="67"/>
      <c r="B521" s="67"/>
      <c r="H521" s="67"/>
      <c r="Y521" s="67"/>
      <c r="BF521" s="67"/>
      <c r="BG521" s="67"/>
      <c r="BH521" s="67"/>
      <c r="BI521" s="67"/>
      <c r="BJ521" s="106"/>
    </row>
    <row r="522" spans="1:62" s="92" customFormat="1" x14ac:dyDescent="0.2">
      <c r="A522" s="67"/>
      <c r="B522" s="67"/>
      <c r="H522" s="67"/>
      <c r="Y522" s="67"/>
      <c r="BF522" s="67"/>
      <c r="BG522" s="67"/>
      <c r="BH522" s="67"/>
      <c r="BI522" s="67"/>
      <c r="BJ522" s="106"/>
    </row>
    <row r="523" spans="1:62" s="92" customFormat="1" x14ac:dyDescent="0.2">
      <c r="A523" s="67"/>
      <c r="B523" s="67"/>
      <c r="H523" s="67"/>
      <c r="Y523" s="67"/>
      <c r="BF523" s="67"/>
      <c r="BG523" s="67"/>
      <c r="BH523" s="67"/>
      <c r="BI523" s="67"/>
      <c r="BJ523" s="106"/>
    </row>
    <row r="524" spans="1:62" s="92" customFormat="1" x14ac:dyDescent="0.2">
      <c r="A524" s="67"/>
      <c r="B524" s="67"/>
      <c r="H524" s="67"/>
      <c r="Y524" s="67"/>
      <c r="BF524" s="67"/>
      <c r="BG524" s="67"/>
      <c r="BH524" s="67"/>
      <c r="BI524" s="67"/>
      <c r="BJ524" s="106"/>
    </row>
    <row r="525" spans="1:62" s="92" customFormat="1" x14ac:dyDescent="0.2">
      <c r="A525" s="67"/>
      <c r="B525" s="67"/>
      <c r="H525" s="67"/>
      <c r="Y525" s="67"/>
      <c r="BF525" s="67"/>
      <c r="BG525" s="67"/>
      <c r="BH525" s="67"/>
      <c r="BI525" s="67"/>
      <c r="BJ525" s="106"/>
    </row>
    <row r="526" spans="1:62" s="92" customFormat="1" x14ac:dyDescent="0.2">
      <c r="A526" s="67"/>
      <c r="B526" s="67"/>
      <c r="H526" s="67"/>
      <c r="Y526" s="67"/>
      <c r="BF526" s="67"/>
      <c r="BG526" s="67"/>
      <c r="BH526" s="67"/>
      <c r="BI526" s="67"/>
      <c r="BJ526" s="106"/>
    </row>
    <row r="527" spans="1:62" s="92" customFormat="1" x14ac:dyDescent="0.2">
      <c r="A527" s="67"/>
      <c r="B527" s="67"/>
      <c r="H527" s="67"/>
      <c r="Y527" s="67"/>
      <c r="BF527" s="67"/>
      <c r="BG527" s="67"/>
      <c r="BH527" s="67"/>
      <c r="BI527" s="67"/>
      <c r="BJ527" s="106"/>
    </row>
    <row r="528" spans="1:62" s="92" customFormat="1" x14ac:dyDescent="0.2">
      <c r="A528" s="67"/>
      <c r="B528" s="67"/>
      <c r="H528" s="67"/>
      <c r="Y528" s="67"/>
      <c r="BF528" s="67"/>
      <c r="BG528" s="67"/>
      <c r="BH528" s="67"/>
      <c r="BI528" s="67"/>
      <c r="BJ528" s="106"/>
    </row>
    <row r="529" spans="1:62" s="92" customFormat="1" x14ac:dyDescent="0.2">
      <c r="A529" s="67"/>
      <c r="B529" s="67"/>
      <c r="H529" s="67"/>
      <c r="Y529" s="67"/>
      <c r="BF529" s="67"/>
      <c r="BG529" s="67"/>
      <c r="BH529" s="67"/>
      <c r="BI529" s="67"/>
      <c r="BJ529" s="106"/>
    </row>
    <row r="530" spans="1:62" s="92" customFormat="1" x14ac:dyDescent="0.2">
      <c r="A530" s="67"/>
      <c r="B530" s="67"/>
      <c r="H530" s="67"/>
      <c r="Y530" s="67"/>
      <c r="BF530" s="67"/>
      <c r="BG530" s="67"/>
      <c r="BH530" s="67"/>
      <c r="BI530" s="67"/>
      <c r="BJ530" s="106"/>
    </row>
    <row r="531" spans="1:62" s="92" customFormat="1" x14ac:dyDescent="0.2">
      <c r="A531" s="67"/>
      <c r="B531" s="67"/>
      <c r="H531" s="67"/>
      <c r="Y531" s="67"/>
      <c r="BF531" s="67"/>
      <c r="BG531" s="67"/>
      <c r="BH531" s="67"/>
      <c r="BI531" s="67"/>
      <c r="BJ531" s="106"/>
    </row>
    <row r="532" spans="1:62" s="92" customFormat="1" x14ac:dyDescent="0.2">
      <c r="A532" s="67"/>
      <c r="B532" s="67"/>
      <c r="H532" s="67"/>
      <c r="Y532" s="67"/>
      <c r="BF532" s="67"/>
      <c r="BG532" s="67"/>
      <c r="BH532" s="67"/>
      <c r="BI532" s="67"/>
      <c r="BJ532" s="106"/>
    </row>
    <row r="533" spans="1:62" s="92" customFormat="1" x14ac:dyDescent="0.2">
      <c r="A533" s="67"/>
      <c r="B533" s="67"/>
      <c r="H533" s="67"/>
      <c r="Y533" s="67"/>
      <c r="BF533" s="67"/>
      <c r="BG533" s="67"/>
      <c r="BH533" s="67"/>
      <c r="BI533" s="67"/>
      <c r="BJ533" s="106"/>
    </row>
    <row r="534" spans="1:62" s="92" customFormat="1" x14ac:dyDescent="0.2">
      <c r="A534" s="67"/>
      <c r="B534" s="67"/>
      <c r="H534" s="67"/>
      <c r="Y534" s="67"/>
      <c r="BF534" s="67"/>
      <c r="BG534" s="67"/>
      <c r="BH534" s="67"/>
      <c r="BI534" s="67"/>
      <c r="BJ534" s="106"/>
    </row>
    <row r="535" spans="1:62" s="92" customFormat="1" x14ac:dyDescent="0.2">
      <c r="A535" s="67"/>
      <c r="B535" s="67"/>
      <c r="H535" s="67"/>
      <c r="Y535" s="67"/>
      <c r="BF535" s="67"/>
      <c r="BG535" s="67"/>
      <c r="BH535" s="67"/>
      <c r="BI535" s="67"/>
      <c r="BJ535" s="106"/>
    </row>
    <row r="536" spans="1:62" s="92" customFormat="1" x14ac:dyDescent="0.2">
      <c r="A536" s="67"/>
      <c r="B536" s="67"/>
      <c r="H536" s="67"/>
      <c r="Y536" s="67"/>
      <c r="BF536" s="67"/>
      <c r="BG536" s="67"/>
      <c r="BH536" s="67"/>
      <c r="BI536" s="67"/>
      <c r="BJ536" s="106"/>
    </row>
    <row r="537" spans="1:62" s="92" customFormat="1" x14ac:dyDescent="0.2">
      <c r="A537" s="67"/>
      <c r="B537" s="67"/>
      <c r="H537" s="67"/>
      <c r="Y537" s="67"/>
      <c r="BF537" s="67"/>
      <c r="BG537" s="67"/>
      <c r="BH537" s="67"/>
      <c r="BI537" s="67"/>
      <c r="BJ537" s="106"/>
    </row>
    <row r="538" spans="1:62" s="92" customFormat="1" x14ac:dyDescent="0.2">
      <c r="A538" s="67"/>
      <c r="B538" s="67"/>
      <c r="H538" s="67"/>
      <c r="Y538" s="67"/>
      <c r="BF538" s="67"/>
      <c r="BG538" s="67"/>
      <c r="BH538" s="67"/>
      <c r="BI538" s="67"/>
      <c r="BJ538" s="106"/>
    </row>
    <row r="539" spans="1:62" s="92" customFormat="1" x14ac:dyDescent="0.2">
      <c r="A539" s="67"/>
      <c r="B539" s="67"/>
      <c r="H539" s="67"/>
      <c r="Y539" s="67"/>
      <c r="BF539" s="67"/>
      <c r="BG539" s="67"/>
      <c r="BH539" s="67"/>
      <c r="BI539" s="67"/>
      <c r="BJ539" s="106"/>
    </row>
    <row r="540" spans="1:62" s="92" customFormat="1" x14ac:dyDescent="0.2">
      <c r="A540" s="67"/>
      <c r="B540" s="67"/>
      <c r="H540" s="67"/>
      <c r="Y540" s="67"/>
      <c r="BF540" s="67"/>
      <c r="BG540" s="67"/>
      <c r="BH540" s="67"/>
      <c r="BI540" s="67"/>
      <c r="BJ540" s="106"/>
    </row>
    <row r="541" spans="1:62" s="92" customFormat="1" x14ac:dyDescent="0.2">
      <c r="A541" s="67"/>
      <c r="B541" s="67"/>
      <c r="H541" s="67"/>
      <c r="Y541" s="67"/>
      <c r="BF541" s="67"/>
      <c r="BG541" s="67"/>
      <c r="BH541" s="67"/>
      <c r="BI541" s="67"/>
      <c r="BJ541" s="106"/>
    </row>
    <row r="542" spans="1:62" s="92" customFormat="1" x14ac:dyDescent="0.2">
      <c r="A542" s="67"/>
      <c r="B542" s="67"/>
      <c r="H542" s="67"/>
      <c r="Y542" s="67"/>
      <c r="BF542" s="67"/>
      <c r="BG542" s="67"/>
      <c r="BH542" s="67"/>
      <c r="BI542" s="67"/>
      <c r="BJ542" s="106"/>
    </row>
    <row r="543" spans="1:62" s="92" customFormat="1" x14ac:dyDescent="0.2">
      <c r="A543" s="67"/>
      <c r="B543" s="67"/>
      <c r="H543" s="67"/>
      <c r="Y543" s="67"/>
      <c r="BF543" s="67"/>
      <c r="BG543" s="67"/>
      <c r="BH543" s="67"/>
      <c r="BI543" s="67"/>
      <c r="BJ543" s="106"/>
    </row>
    <row r="544" spans="1:62" s="92" customFormat="1" x14ac:dyDescent="0.2">
      <c r="A544" s="67"/>
      <c r="B544" s="67"/>
      <c r="H544" s="67"/>
      <c r="Y544" s="67"/>
      <c r="BF544" s="67"/>
      <c r="BG544" s="67"/>
      <c r="BH544" s="67"/>
      <c r="BI544" s="67"/>
      <c r="BJ544" s="106"/>
    </row>
    <row r="545" spans="1:62" s="92" customFormat="1" x14ac:dyDescent="0.2">
      <c r="A545" s="67"/>
      <c r="B545" s="67"/>
      <c r="H545" s="67"/>
      <c r="Y545" s="67"/>
      <c r="BF545" s="67"/>
      <c r="BG545" s="67"/>
      <c r="BH545" s="67"/>
      <c r="BI545" s="67"/>
      <c r="BJ545" s="106"/>
    </row>
    <row r="546" spans="1:62" s="92" customFormat="1" x14ac:dyDescent="0.2">
      <c r="A546" s="67"/>
      <c r="B546" s="67"/>
      <c r="H546" s="67"/>
      <c r="Y546" s="67"/>
      <c r="BF546" s="67"/>
      <c r="BG546" s="67"/>
      <c r="BH546" s="67"/>
      <c r="BI546" s="67"/>
      <c r="BJ546" s="106"/>
    </row>
    <row r="547" spans="1:62" s="92" customFormat="1" x14ac:dyDescent="0.2">
      <c r="A547" s="67"/>
      <c r="B547" s="67"/>
      <c r="H547" s="67"/>
      <c r="Y547" s="67"/>
      <c r="BF547" s="67"/>
      <c r="BG547" s="67"/>
      <c r="BH547" s="67"/>
      <c r="BI547" s="67"/>
      <c r="BJ547" s="106"/>
    </row>
    <row r="548" spans="1:62" s="92" customFormat="1" x14ac:dyDescent="0.2">
      <c r="A548" s="67"/>
      <c r="B548" s="67"/>
      <c r="H548" s="67"/>
      <c r="Y548" s="67"/>
      <c r="BF548" s="67"/>
      <c r="BG548" s="67"/>
      <c r="BH548" s="67"/>
      <c r="BI548" s="67"/>
      <c r="BJ548" s="106"/>
    </row>
    <row r="549" spans="1:62" s="92" customFormat="1" x14ac:dyDescent="0.2">
      <c r="A549" s="67"/>
      <c r="B549" s="67"/>
      <c r="H549" s="67"/>
      <c r="Y549" s="67"/>
      <c r="BF549" s="67"/>
      <c r="BG549" s="67"/>
      <c r="BH549" s="67"/>
      <c r="BI549" s="67"/>
      <c r="BJ549" s="106"/>
    </row>
    <row r="550" spans="1:62" s="92" customFormat="1" x14ac:dyDescent="0.2">
      <c r="A550" s="67"/>
      <c r="B550" s="67"/>
      <c r="H550" s="67"/>
      <c r="Y550" s="67"/>
      <c r="BF550" s="67"/>
      <c r="BG550" s="67"/>
      <c r="BH550" s="67"/>
      <c r="BI550" s="67"/>
      <c r="BJ550" s="106"/>
    </row>
    <row r="551" spans="1:62" s="92" customFormat="1" x14ac:dyDescent="0.2">
      <c r="A551" s="67"/>
      <c r="B551" s="67"/>
      <c r="H551" s="67"/>
      <c r="Y551" s="67"/>
      <c r="BF551" s="67"/>
      <c r="BG551" s="67"/>
      <c r="BH551" s="67"/>
      <c r="BI551" s="67"/>
      <c r="BJ551" s="106"/>
    </row>
    <row r="552" spans="1:62" s="92" customFormat="1" x14ac:dyDescent="0.2">
      <c r="A552" s="67"/>
      <c r="B552" s="67"/>
      <c r="H552" s="67"/>
      <c r="Y552" s="67"/>
      <c r="BF552" s="67"/>
      <c r="BG552" s="67"/>
      <c r="BH552" s="67"/>
      <c r="BI552" s="67"/>
      <c r="BJ552" s="106"/>
    </row>
    <row r="553" spans="1:62" s="92" customFormat="1" x14ac:dyDescent="0.2">
      <c r="A553" s="67"/>
      <c r="B553" s="67"/>
      <c r="H553" s="67"/>
      <c r="Y553" s="67"/>
      <c r="BF553" s="67"/>
      <c r="BG553" s="67"/>
      <c r="BH553" s="67"/>
      <c r="BI553" s="67"/>
      <c r="BJ553" s="106"/>
    </row>
    <row r="554" spans="1:62" s="92" customFormat="1" x14ac:dyDescent="0.2">
      <c r="A554" s="67"/>
      <c r="B554" s="67"/>
      <c r="H554" s="67"/>
      <c r="Y554" s="67"/>
      <c r="BF554" s="67"/>
      <c r="BG554" s="67"/>
      <c r="BH554" s="67"/>
      <c r="BI554" s="67"/>
      <c r="BJ554" s="106"/>
    </row>
    <row r="555" spans="1:62" s="92" customFormat="1" x14ac:dyDescent="0.2">
      <c r="A555" s="67"/>
      <c r="B555" s="67"/>
      <c r="H555" s="67"/>
      <c r="Y555" s="67"/>
      <c r="BF555" s="67"/>
      <c r="BG555" s="67"/>
      <c r="BH555" s="67"/>
      <c r="BI555" s="67"/>
      <c r="BJ555" s="106"/>
    </row>
    <row r="556" spans="1:62" s="92" customFormat="1" x14ac:dyDescent="0.2">
      <c r="A556" s="67"/>
      <c r="B556" s="67"/>
      <c r="H556" s="67"/>
      <c r="Y556" s="67"/>
      <c r="BF556" s="67"/>
      <c r="BG556" s="67"/>
      <c r="BH556" s="67"/>
      <c r="BI556" s="67"/>
      <c r="BJ556" s="106"/>
    </row>
    <row r="557" spans="1:62" s="92" customFormat="1" x14ac:dyDescent="0.2">
      <c r="A557" s="67"/>
      <c r="B557" s="67"/>
      <c r="H557" s="67"/>
      <c r="Y557" s="67"/>
      <c r="BF557" s="67"/>
      <c r="BG557" s="67"/>
      <c r="BH557" s="67"/>
      <c r="BI557" s="67"/>
      <c r="BJ557" s="106"/>
    </row>
    <row r="558" spans="1:62" s="92" customFormat="1" x14ac:dyDescent="0.2">
      <c r="A558" s="67"/>
      <c r="B558" s="67"/>
      <c r="H558" s="67"/>
      <c r="Y558" s="67"/>
      <c r="BF558" s="67"/>
      <c r="BG558" s="67"/>
      <c r="BH558" s="67"/>
      <c r="BI558" s="67"/>
      <c r="BJ558" s="106"/>
    </row>
    <row r="559" spans="1:62" s="92" customFormat="1" x14ac:dyDescent="0.2">
      <c r="A559" s="67"/>
      <c r="B559" s="67"/>
      <c r="H559" s="67"/>
      <c r="Y559" s="67"/>
      <c r="BF559" s="67"/>
      <c r="BG559" s="67"/>
      <c r="BH559" s="67"/>
      <c r="BI559" s="67"/>
      <c r="BJ559" s="106"/>
    </row>
    <row r="560" spans="1:62" s="92" customFormat="1" x14ac:dyDescent="0.2">
      <c r="A560" s="67"/>
      <c r="B560" s="67"/>
      <c r="H560" s="67"/>
      <c r="Y560" s="67"/>
      <c r="BF560" s="67"/>
      <c r="BG560" s="67"/>
      <c r="BH560" s="67"/>
      <c r="BI560" s="67"/>
      <c r="BJ560" s="106"/>
    </row>
    <row r="561" spans="1:62" s="92" customFormat="1" x14ac:dyDescent="0.2">
      <c r="A561" s="67"/>
      <c r="B561" s="67"/>
      <c r="H561" s="67"/>
      <c r="Y561" s="67"/>
      <c r="BF561" s="67"/>
      <c r="BG561" s="67"/>
      <c r="BH561" s="67"/>
      <c r="BI561" s="67"/>
      <c r="BJ561" s="106"/>
    </row>
    <row r="562" spans="1:62" s="92" customFormat="1" x14ac:dyDescent="0.2">
      <c r="A562" s="67"/>
      <c r="B562" s="67"/>
      <c r="H562" s="67"/>
      <c r="Y562" s="67"/>
      <c r="BF562" s="67"/>
      <c r="BG562" s="67"/>
      <c r="BH562" s="67"/>
      <c r="BI562" s="67"/>
      <c r="BJ562" s="106"/>
    </row>
    <row r="563" spans="1:62" s="92" customFormat="1" x14ac:dyDescent="0.2">
      <c r="A563" s="67"/>
      <c r="B563" s="67"/>
      <c r="H563" s="67"/>
      <c r="Y563" s="67"/>
      <c r="BF563" s="67"/>
      <c r="BG563" s="67"/>
      <c r="BH563" s="67"/>
      <c r="BI563" s="67"/>
      <c r="BJ563" s="106"/>
    </row>
    <row r="564" spans="1:62" s="92" customFormat="1" x14ac:dyDescent="0.2">
      <c r="A564" s="67"/>
      <c r="B564" s="67"/>
      <c r="H564" s="67"/>
      <c r="Y564" s="67"/>
      <c r="BF564" s="67"/>
      <c r="BG564" s="67"/>
      <c r="BH564" s="67"/>
      <c r="BI564" s="67"/>
      <c r="BJ564" s="106"/>
    </row>
    <row r="565" spans="1:62" s="92" customFormat="1" x14ac:dyDescent="0.2">
      <c r="A565" s="67"/>
      <c r="B565" s="67"/>
      <c r="H565" s="67"/>
      <c r="Y565" s="67"/>
      <c r="BF565" s="67"/>
      <c r="BG565" s="67"/>
      <c r="BH565" s="67"/>
      <c r="BI565" s="67"/>
      <c r="BJ565" s="106"/>
    </row>
    <row r="566" spans="1:62" s="92" customFormat="1" x14ac:dyDescent="0.2">
      <c r="A566" s="67"/>
      <c r="B566" s="67"/>
      <c r="H566" s="67"/>
      <c r="Y566" s="67"/>
      <c r="BF566" s="67"/>
      <c r="BG566" s="67"/>
      <c r="BH566" s="67"/>
      <c r="BI566" s="67"/>
      <c r="BJ566" s="106"/>
    </row>
    <row r="567" spans="1:62" s="92" customFormat="1" x14ac:dyDescent="0.2">
      <c r="A567" s="67"/>
      <c r="B567" s="67"/>
      <c r="H567" s="67"/>
      <c r="Y567" s="67"/>
      <c r="BF567" s="67"/>
      <c r="BG567" s="67"/>
      <c r="BH567" s="67"/>
      <c r="BI567" s="67"/>
      <c r="BJ567" s="106"/>
    </row>
    <row r="568" spans="1:62" s="92" customFormat="1" x14ac:dyDescent="0.2">
      <c r="A568" s="67"/>
      <c r="B568" s="67"/>
      <c r="H568" s="67"/>
      <c r="Y568" s="67"/>
      <c r="BF568" s="67"/>
      <c r="BG568" s="67"/>
      <c r="BH568" s="67"/>
      <c r="BI568" s="67"/>
      <c r="BJ568" s="106"/>
    </row>
    <row r="569" spans="1:62" s="92" customFormat="1" x14ac:dyDescent="0.2">
      <c r="A569" s="67"/>
      <c r="B569" s="67"/>
      <c r="H569" s="67"/>
      <c r="Y569" s="67"/>
      <c r="BF569" s="67"/>
      <c r="BG569" s="67"/>
      <c r="BH569" s="67"/>
      <c r="BI569" s="67"/>
      <c r="BJ569" s="106"/>
    </row>
    <row r="570" spans="1:62" s="92" customFormat="1" x14ac:dyDescent="0.2">
      <c r="A570" s="67"/>
      <c r="B570" s="67"/>
      <c r="H570" s="67"/>
      <c r="Y570" s="67"/>
      <c r="BF570" s="67"/>
      <c r="BG570" s="67"/>
      <c r="BH570" s="67"/>
      <c r="BI570" s="67"/>
      <c r="BJ570" s="106"/>
    </row>
    <row r="571" spans="1:62" s="92" customFormat="1" x14ac:dyDescent="0.2">
      <c r="A571" s="67"/>
      <c r="B571" s="67"/>
      <c r="H571" s="67"/>
      <c r="Y571" s="67"/>
      <c r="BF571" s="67"/>
      <c r="BG571" s="67"/>
      <c r="BH571" s="67"/>
      <c r="BI571" s="67"/>
      <c r="BJ571" s="106"/>
    </row>
    <row r="572" spans="1:62" s="92" customFormat="1" x14ac:dyDescent="0.2">
      <c r="A572" s="67"/>
      <c r="B572" s="67"/>
      <c r="H572" s="67"/>
      <c r="Y572" s="67"/>
      <c r="BF572" s="67"/>
      <c r="BG572" s="67"/>
      <c r="BH572" s="67"/>
      <c r="BI572" s="67"/>
      <c r="BJ572" s="106"/>
    </row>
    <row r="573" spans="1:62" s="92" customFormat="1" x14ac:dyDescent="0.2">
      <c r="A573" s="67"/>
      <c r="B573" s="67"/>
      <c r="H573" s="67"/>
      <c r="Y573" s="67"/>
      <c r="BF573" s="67"/>
      <c r="BG573" s="67"/>
      <c r="BH573" s="67"/>
      <c r="BI573" s="67"/>
      <c r="BJ573" s="106"/>
    </row>
  </sheetData>
  <autoFilter ref="B10:BT83" xr:uid="{00000000-0009-0000-0000-000000000000}">
    <sortState xmlns:xlrd2="http://schemas.microsoft.com/office/spreadsheetml/2017/richdata2" ref="B11:BT83">
      <sortCondition ref="B10:B83"/>
    </sortState>
  </autoFilter>
  <sortState xmlns:xlrd2="http://schemas.microsoft.com/office/spreadsheetml/2017/richdata2" ref="A52:BT83">
    <sortCondition ref="B52:B83"/>
  </sortState>
  <mergeCells count="55">
    <mergeCell ref="F7:G7"/>
    <mergeCell ref="D3:G3"/>
    <mergeCell ref="D4:G4"/>
    <mergeCell ref="BI7:BI9"/>
    <mergeCell ref="BJ7:BJ9"/>
    <mergeCell ref="AE5:AE9"/>
    <mergeCell ref="K3:M3"/>
    <mergeCell ref="O3:Q3"/>
    <mergeCell ref="T3:V3"/>
    <mergeCell ref="F5:G5"/>
    <mergeCell ref="AX6:AX9"/>
    <mergeCell ref="AY6:AY9"/>
    <mergeCell ref="AZ6:AZ9"/>
    <mergeCell ref="AL5:AL9"/>
    <mergeCell ref="AM5:AM9"/>
    <mergeCell ref="AN5:AN9"/>
    <mergeCell ref="AS5:AS9"/>
    <mergeCell ref="Z7:Z9"/>
    <mergeCell ref="AA7:AA9"/>
    <mergeCell ref="AB7:AB9"/>
    <mergeCell ref="AC7:AC9"/>
    <mergeCell ref="AO5:AO9"/>
    <mergeCell ref="O8:R8"/>
    <mergeCell ref="AF5:AF9"/>
    <mergeCell ref="AP5:AP9"/>
    <mergeCell ref="AD5:AD9"/>
    <mergeCell ref="AG5:AG9"/>
    <mergeCell ref="AH5:AH9"/>
    <mergeCell ref="AI5:AI9"/>
    <mergeCell ref="AJ5:AJ9"/>
    <mergeCell ref="W7:X7"/>
    <mergeCell ref="BT7:BT9"/>
    <mergeCell ref="BH7:BH9"/>
    <mergeCell ref="BK7:BK9"/>
    <mergeCell ref="BL7:BL9"/>
    <mergeCell ref="BM7:BM9"/>
    <mergeCell ref="BP7:BP9"/>
    <mergeCell ref="BQ7:BQ9"/>
    <mergeCell ref="BS7:BS9"/>
    <mergeCell ref="AW5:AW9"/>
    <mergeCell ref="C9:D9"/>
    <mergeCell ref="BR7:BR9"/>
    <mergeCell ref="AK5:AK9"/>
    <mergeCell ref="BO7:BO9"/>
    <mergeCell ref="BN7:BN9"/>
    <mergeCell ref="BG7:BG9"/>
    <mergeCell ref="AQ5:AQ9"/>
    <mergeCell ref="BA6:BA9"/>
    <mergeCell ref="AR5:AR9"/>
    <mergeCell ref="AT5:AT9"/>
    <mergeCell ref="F6:G6"/>
    <mergeCell ref="AU5:AU9"/>
    <mergeCell ref="AV5:AV9"/>
    <mergeCell ref="I8:J8"/>
    <mergeCell ref="K8:M8"/>
  </mergeCells>
  <phoneticPr fontId="31" type="noConversion"/>
  <conditionalFormatting sqref="BS11:BT83">
    <cfRule type="cellIs" dxfId="0" priority="1" operator="greaterThan">
      <formula>0</formula>
    </cfRule>
  </conditionalFormatting>
  <pageMargins left="0.23622047244094491" right="0.23622047244094491" top="0.47244094488188981" bottom="0.74803149606299213" header="0.31496062992125984" footer="0.31496062992125984"/>
  <pageSetup paperSize="8" scale="94" fitToHeight="20" orientation="landscape" r:id="rId1"/>
  <headerFooter>
    <oddFooter>&amp;LDato utskrift: &amp;D
Filbane: &amp;Z&amp;F&amp;RSide &amp;P av &amp;N</oddFoot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Velg aggregat:" xr:uid="{00000000-0002-0000-0000-000000000000}">
          <x14:formula1>
            <xm:f>'Luftmengder pr aggr'!$B$9:$B$28</xm:f>
          </x14:formula1>
          <xm:sqref>S11:S83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1BD3-D6F4-490A-9B23-690A5F2CE5D9}">
  <dimension ref="B6:N77"/>
  <sheetViews>
    <sheetView workbookViewId="0">
      <selection activeCell="S15" sqref="S15"/>
    </sheetView>
  </sheetViews>
  <sheetFormatPr baseColWidth="10" defaultRowHeight="15" x14ac:dyDescent="0.25"/>
  <cols>
    <col min="3" max="3" width="23.140625" bestFit="1" customWidth="1"/>
    <col min="11" max="11" width="16.42578125" bestFit="1" customWidth="1"/>
  </cols>
  <sheetData>
    <row r="6" spans="2:14" x14ac:dyDescent="0.25">
      <c r="B6" s="228" t="s">
        <v>107</v>
      </c>
      <c r="C6" s="184" t="s">
        <v>121</v>
      </c>
      <c r="D6" s="229"/>
      <c r="E6" s="229"/>
      <c r="F6" s="230">
        <v>250</v>
      </c>
      <c r="G6" s="229" t="s">
        <v>161</v>
      </c>
      <c r="K6" s="234" t="s">
        <v>167</v>
      </c>
      <c r="L6" s="234" t="s">
        <v>164</v>
      </c>
      <c r="M6" t="s">
        <v>168</v>
      </c>
      <c r="N6" t="s">
        <v>169</v>
      </c>
    </row>
    <row r="7" spans="2:14" x14ac:dyDescent="0.25">
      <c r="B7" s="228" t="s">
        <v>108</v>
      </c>
      <c r="C7" s="184" t="s">
        <v>121</v>
      </c>
      <c r="D7" s="229"/>
      <c r="E7" s="229"/>
      <c r="F7" s="230">
        <v>250</v>
      </c>
      <c r="G7" s="229" t="s">
        <v>161</v>
      </c>
      <c r="K7" s="229" t="s">
        <v>161</v>
      </c>
      <c r="L7" s="229">
        <f>200+288</f>
        <v>488</v>
      </c>
      <c r="M7">
        <v>50</v>
      </c>
      <c r="N7">
        <f>L7*M7</f>
        <v>24400</v>
      </c>
    </row>
    <row r="8" spans="2:14" x14ac:dyDescent="0.25">
      <c r="B8" s="228" t="s">
        <v>109</v>
      </c>
      <c r="C8" s="184" t="s">
        <v>122</v>
      </c>
      <c r="D8" s="229"/>
      <c r="E8" s="229"/>
      <c r="F8" s="230">
        <v>350</v>
      </c>
      <c r="G8" s="229" t="s">
        <v>161</v>
      </c>
      <c r="K8" s="229" t="s">
        <v>165</v>
      </c>
      <c r="L8" s="229">
        <f>70+18+75+290+1162</f>
        <v>1615</v>
      </c>
    </row>
    <row r="9" spans="2:14" x14ac:dyDescent="0.25">
      <c r="B9" s="228" t="s">
        <v>110</v>
      </c>
      <c r="C9" s="184" t="s">
        <v>122</v>
      </c>
      <c r="D9" s="229"/>
      <c r="E9" s="229"/>
      <c r="F9" s="230">
        <v>350</v>
      </c>
      <c r="G9" s="229" t="s">
        <v>161</v>
      </c>
      <c r="K9" s="235" t="s">
        <v>166</v>
      </c>
      <c r="L9" s="235" t="s">
        <v>164</v>
      </c>
    </row>
    <row r="10" spans="2:14" x14ac:dyDescent="0.25">
      <c r="B10" s="228" t="s">
        <v>111</v>
      </c>
      <c r="C10" s="184" t="s">
        <v>123</v>
      </c>
      <c r="D10" s="229"/>
      <c r="E10" s="229"/>
      <c r="F10" s="230">
        <v>150</v>
      </c>
      <c r="G10" s="229" t="s">
        <v>161</v>
      </c>
      <c r="K10" s="229" t="s">
        <v>161</v>
      </c>
      <c r="L10" s="229">
        <f>225</f>
        <v>225</v>
      </c>
      <c r="M10">
        <v>50</v>
      </c>
      <c r="N10">
        <f>L10*M10</f>
        <v>11250</v>
      </c>
    </row>
    <row r="11" spans="2:14" x14ac:dyDescent="0.25">
      <c r="B11" s="228" t="s">
        <v>112</v>
      </c>
      <c r="C11" s="184" t="s">
        <v>123</v>
      </c>
      <c r="D11" s="229"/>
      <c r="E11" s="229"/>
      <c r="F11" s="230">
        <v>150</v>
      </c>
      <c r="G11" s="229"/>
      <c r="K11" s="229" t="s">
        <v>165</v>
      </c>
      <c r="L11" s="229">
        <f>123+264+61+30+195</f>
        <v>673</v>
      </c>
    </row>
    <row r="12" spans="2:14" x14ac:dyDescent="0.25">
      <c r="B12" s="228" t="s">
        <v>113</v>
      </c>
      <c r="C12" s="184" t="s">
        <v>122</v>
      </c>
      <c r="D12" s="229"/>
      <c r="E12" s="229"/>
      <c r="F12" s="230">
        <v>450</v>
      </c>
      <c r="G12" s="229"/>
      <c r="K12" s="229" t="s">
        <v>170</v>
      </c>
      <c r="L12" s="229"/>
    </row>
    <row r="13" spans="2:14" x14ac:dyDescent="0.25">
      <c r="B13" s="228" t="s">
        <v>114</v>
      </c>
      <c r="C13" s="184" t="s">
        <v>122</v>
      </c>
      <c r="D13" s="229"/>
      <c r="E13" s="229"/>
      <c r="F13" s="230">
        <v>350</v>
      </c>
      <c r="G13" s="229"/>
    </row>
    <row r="14" spans="2:14" x14ac:dyDescent="0.25">
      <c r="B14" s="228" t="s">
        <v>115</v>
      </c>
      <c r="C14" s="184" t="s">
        <v>124</v>
      </c>
      <c r="D14" s="229"/>
      <c r="E14" s="229"/>
      <c r="F14" s="230">
        <v>200</v>
      </c>
      <c r="G14" s="229"/>
    </row>
    <row r="15" spans="2:14" x14ac:dyDescent="0.25">
      <c r="B15" s="228">
        <v>111</v>
      </c>
      <c r="C15" s="184" t="s">
        <v>121</v>
      </c>
      <c r="D15" s="229"/>
      <c r="E15" s="229"/>
      <c r="F15" s="230">
        <v>250</v>
      </c>
      <c r="G15" s="229"/>
    </row>
    <row r="16" spans="2:14" x14ac:dyDescent="0.25">
      <c r="B16" s="228">
        <v>112</v>
      </c>
      <c r="C16" s="184" t="s">
        <v>121</v>
      </c>
      <c r="D16" s="229"/>
      <c r="E16" s="229"/>
      <c r="F16" s="230">
        <v>250</v>
      </c>
      <c r="G16" s="229"/>
    </row>
    <row r="17" spans="2:7" x14ac:dyDescent="0.25">
      <c r="B17" s="228">
        <v>113</v>
      </c>
      <c r="C17" s="184" t="s">
        <v>123</v>
      </c>
      <c r="D17" s="229"/>
      <c r="E17" s="229"/>
      <c r="F17" s="230">
        <v>150</v>
      </c>
      <c r="G17" s="229"/>
    </row>
    <row r="18" spans="2:7" x14ac:dyDescent="0.25">
      <c r="B18" s="228">
        <v>114</v>
      </c>
      <c r="C18" s="184" t="s">
        <v>123</v>
      </c>
      <c r="D18" s="229"/>
      <c r="E18" s="229"/>
      <c r="F18" s="230">
        <v>250</v>
      </c>
      <c r="G18" s="229"/>
    </row>
    <row r="19" spans="2:7" x14ac:dyDescent="0.25">
      <c r="B19" s="228">
        <v>115</v>
      </c>
      <c r="C19" s="184" t="s">
        <v>124</v>
      </c>
      <c r="D19" s="229"/>
      <c r="E19" s="229"/>
      <c r="F19" s="230">
        <v>200</v>
      </c>
      <c r="G19" s="229"/>
    </row>
    <row r="20" spans="2:7" x14ac:dyDescent="0.25">
      <c r="B20" s="228">
        <v>116</v>
      </c>
      <c r="C20" s="184" t="s">
        <v>124</v>
      </c>
      <c r="D20" s="229"/>
      <c r="E20" s="229"/>
      <c r="F20" s="230">
        <v>200</v>
      </c>
      <c r="G20" s="229"/>
    </row>
    <row r="21" spans="2:7" x14ac:dyDescent="0.25">
      <c r="B21" s="228">
        <v>117</v>
      </c>
      <c r="C21" s="184" t="s">
        <v>121</v>
      </c>
      <c r="D21" s="229"/>
      <c r="E21" s="229"/>
      <c r="F21" s="230">
        <v>250</v>
      </c>
      <c r="G21" s="229"/>
    </row>
    <row r="22" spans="2:7" x14ac:dyDescent="0.25">
      <c r="B22" s="228">
        <v>118</v>
      </c>
      <c r="C22" s="184" t="s">
        <v>122</v>
      </c>
      <c r="D22" s="229"/>
      <c r="E22" s="229"/>
      <c r="F22" s="230">
        <v>400</v>
      </c>
      <c r="G22" s="229"/>
    </row>
    <row r="23" spans="2:7" x14ac:dyDescent="0.25">
      <c r="B23" s="228">
        <v>119</v>
      </c>
      <c r="C23" s="184" t="s">
        <v>122</v>
      </c>
      <c r="D23" s="229"/>
      <c r="E23" s="229"/>
      <c r="F23" s="230">
        <v>400</v>
      </c>
      <c r="G23" s="229"/>
    </row>
    <row r="24" spans="2:7" x14ac:dyDescent="0.25">
      <c r="B24" s="228">
        <v>120</v>
      </c>
      <c r="C24" s="184" t="s">
        <v>121</v>
      </c>
      <c r="D24" s="229"/>
      <c r="E24" s="229"/>
      <c r="F24" s="230">
        <v>250</v>
      </c>
      <c r="G24" s="229"/>
    </row>
    <row r="25" spans="2:7" x14ac:dyDescent="0.25">
      <c r="B25" s="228">
        <v>121</v>
      </c>
      <c r="C25" s="184" t="s">
        <v>123</v>
      </c>
      <c r="D25" s="229"/>
      <c r="E25" s="229"/>
      <c r="F25" s="230">
        <v>150</v>
      </c>
      <c r="G25" s="229"/>
    </row>
    <row r="26" spans="2:7" x14ac:dyDescent="0.25">
      <c r="B26" s="228">
        <v>122</v>
      </c>
      <c r="C26" s="184" t="s">
        <v>123</v>
      </c>
      <c r="D26" s="229"/>
      <c r="E26" s="229"/>
      <c r="F26" s="230">
        <v>150</v>
      </c>
      <c r="G26" s="229"/>
    </row>
    <row r="27" spans="2:7" x14ac:dyDescent="0.25">
      <c r="B27" s="228">
        <v>123</v>
      </c>
      <c r="C27" s="184" t="s">
        <v>125</v>
      </c>
      <c r="D27" s="229"/>
      <c r="E27" s="229"/>
      <c r="F27" s="230">
        <v>150</v>
      </c>
      <c r="G27" s="229"/>
    </row>
    <row r="28" spans="2:7" x14ac:dyDescent="0.25">
      <c r="B28" s="228">
        <v>124</v>
      </c>
      <c r="C28" s="184" t="s">
        <v>123</v>
      </c>
      <c r="D28" s="229"/>
      <c r="E28" s="229"/>
      <c r="F28" s="230">
        <v>150</v>
      </c>
      <c r="G28" s="229"/>
    </row>
    <row r="29" spans="2:7" x14ac:dyDescent="0.25">
      <c r="B29" s="228">
        <v>125</v>
      </c>
      <c r="C29" s="184" t="s">
        <v>126</v>
      </c>
      <c r="D29" s="229"/>
      <c r="E29" s="229"/>
      <c r="F29" s="230">
        <v>900</v>
      </c>
      <c r="G29" s="229"/>
    </row>
    <row r="30" spans="2:7" x14ac:dyDescent="0.25">
      <c r="B30" s="228">
        <v>126</v>
      </c>
      <c r="C30" s="184" t="s">
        <v>127</v>
      </c>
      <c r="D30" s="229"/>
      <c r="E30" s="229"/>
      <c r="F30" s="230">
        <v>350</v>
      </c>
      <c r="G30" s="229"/>
    </row>
    <row r="31" spans="2:7" x14ac:dyDescent="0.25">
      <c r="B31" s="231" t="s">
        <v>116</v>
      </c>
      <c r="C31" s="188" t="s">
        <v>128</v>
      </c>
      <c r="D31" s="229"/>
      <c r="E31" s="229"/>
      <c r="F31" s="230">
        <v>1900</v>
      </c>
      <c r="G31" s="229" t="s">
        <v>162</v>
      </c>
    </row>
    <row r="32" spans="2:7" x14ac:dyDescent="0.25">
      <c r="B32" s="228">
        <v>128</v>
      </c>
      <c r="C32" s="184" t="s">
        <v>129</v>
      </c>
      <c r="D32" s="229"/>
      <c r="E32" s="229"/>
      <c r="F32" s="230">
        <v>0</v>
      </c>
      <c r="G32" s="229"/>
    </row>
    <row r="33" spans="2:7" x14ac:dyDescent="0.25">
      <c r="B33" s="228">
        <v>129</v>
      </c>
      <c r="C33" s="184" t="s">
        <v>130</v>
      </c>
      <c r="D33" s="229"/>
      <c r="E33" s="229"/>
      <c r="F33" s="230">
        <v>1000</v>
      </c>
      <c r="G33" s="229"/>
    </row>
    <row r="34" spans="2:7" x14ac:dyDescent="0.25">
      <c r="B34" s="228">
        <v>131</v>
      </c>
      <c r="C34" s="184" t="s">
        <v>131</v>
      </c>
      <c r="D34" s="229"/>
      <c r="E34" s="229"/>
      <c r="F34" s="230">
        <v>800</v>
      </c>
      <c r="G34" s="229" t="s">
        <v>163</v>
      </c>
    </row>
    <row r="35" spans="2:7" x14ac:dyDescent="0.25">
      <c r="B35" s="228">
        <v>132</v>
      </c>
      <c r="C35" s="184" t="s">
        <v>131</v>
      </c>
      <c r="D35" s="229"/>
      <c r="E35" s="229"/>
      <c r="F35" s="230">
        <v>1200</v>
      </c>
      <c r="G35" s="229" t="s">
        <v>160</v>
      </c>
    </row>
    <row r="36" spans="2:7" x14ac:dyDescent="0.25">
      <c r="B36" s="228">
        <v>133</v>
      </c>
      <c r="C36" s="184" t="s">
        <v>132</v>
      </c>
      <c r="D36" s="229"/>
      <c r="E36" s="229"/>
      <c r="F36" s="230">
        <v>250</v>
      </c>
      <c r="G36" s="229" t="s">
        <v>159</v>
      </c>
    </row>
    <row r="37" spans="2:7" x14ac:dyDescent="0.25">
      <c r="B37" s="228">
        <v>134</v>
      </c>
      <c r="C37" s="184" t="s">
        <v>133</v>
      </c>
      <c r="D37" s="229"/>
      <c r="E37" s="229"/>
      <c r="F37" s="230">
        <v>1000</v>
      </c>
      <c r="G37" s="229" t="s">
        <v>159</v>
      </c>
    </row>
    <row r="38" spans="2:7" x14ac:dyDescent="0.25">
      <c r="B38" s="228">
        <v>135</v>
      </c>
      <c r="C38" s="184" t="s">
        <v>134</v>
      </c>
      <c r="D38" s="229"/>
      <c r="E38" s="229"/>
      <c r="F38" s="230">
        <v>600</v>
      </c>
      <c r="G38" s="229" t="s">
        <v>159</v>
      </c>
    </row>
    <row r="39" spans="2:7" x14ac:dyDescent="0.25">
      <c r="B39" s="228">
        <v>136</v>
      </c>
      <c r="C39" s="184" t="s">
        <v>133</v>
      </c>
      <c r="D39" s="229"/>
      <c r="E39" s="229"/>
      <c r="F39" s="230">
        <v>1450</v>
      </c>
      <c r="G39" s="229" t="s">
        <v>159</v>
      </c>
    </row>
    <row r="40" spans="2:7" x14ac:dyDescent="0.25">
      <c r="B40" s="228">
        <v>138</v>
      </c>
      <c r="C40" s="184" t="s">
        <v>135</v>
      </c>
      <c r="D40" s="229"/>
      <c r="E40" s="229"/>
      <c r="F40" s="230">
        <v>0</v>
      </c>
      <c r="G40" s="229"/>
    </row>
    <row r="41" spans="2:7" x14ac:dyDescent="0.25">
      <c r="B41" s="228" t="s">
        <v>117</v>
      </c>
      <c r="C41" s="184" t="s">
        <v>136</v>
      </c>
      <c r="D41" s="229"/>
      <c r="E41" s="229"/>
      <c r="F41" s="230">
        <v>2500</v>
      </c>
      <c r="G41" s="229" t="s">
        <v>160</v>
      </c>
    </row>
    <row r="42" spans="2:7" x14ac:dyDescent="0.25">
      <c r="B42" s="228">
        <v>168</v>
      </c>
      <c r="C42" s="184" t="s">
        <v>136</v>
      </c>
      <c r="D42" s="229"/>
      <c r="E42" s="229"/>
      <c r="F42" s="230">
        <v>150</v>
      </c>
      <c r="G42" s="229" t="s">
        <v>160</v>
      </c>
    </row>
    <row r="43" spans="2:7" x14ac:dyDescent="0.25">
      <c r="B43" s="228">
        <v>169</v>
      </c>
      <c r="C43" s="184" t="s">
        <v>136</v>
      </c>
      <c r="D43" s="229"/>
      <c r="E43" s="229"/>
      <c r="F43" s="230">
        <v>550</v>
      </c>
      <c r="G43" s="229" t="s">
        <v>160</v>
      </c>
    </row>
    <row r="44" spans="2:7" x14ac:dyDescent="0.25">
      <c r="B44" s="228">
        <v>170</v>
      </c>
      <c r="C44" s="184" t="s">
        <v>136</v>
      </c>
      <c r="D44" s="229"/>
      <c r="E44" s="229"/>
      <c r="F44" s="230">
        <v>2600</v>
      </c>
      <c r="G44" s="229" t="s">
        <v>160</v>
      </c>
    </row>
    <row r="45" spans="2:7" x14ac:dyDescent="0.25">
      <c r="B45" s="231" t="s">
        <v>118</v>
      </c>
      <c r="C45" s="188" t="s">
        <v>137</v>
      </c>
      <c r="D45" s="229"/>
      <c r="E45" s="229"/>
      <c r="F45" s="230">
        <v>0</v>
      </c>
      <c r="G45" s="229"/>
    </row>
    <row r="46" spans="2:7" x14ac:dyDescent="0.25">
      <c r="B46" s="231" t="s">
        <v>119</v>
      </c>
      <c r="C46" s="188" t="s">
        <v>138</v>
      </c>
      <c r="D46" s="229"/>
      <c r="E46" s="229"/>
      <c r="F46" s="230">
        <v>39050</v>
      </c>
      <c r="G46" s="229" t="s">
        <v>160</v>
      </c>
    </row>
    <row r="47" spans="2:7" x14ac:dyDescent="0.25">
      <c r="B47" s="232">
        <v>139</v>
      </c>
      <c r="C47" s="188" t="s">
        <v>139</v>
      </c>
      <c r="D47" s="229"/>
      <c r="E47" s="229"/>
      <c r="F47" s="230">
        <v>7600</v>
      </c>
      <c r="G47" s="229" t="s">
        <v>159</v>
      </c>
    </row>
    <row r="48" spans="2:7" x14ac:dyDescent="0.25">
      <c r="B48" s="233">
        <v>140</v>
      </c>
      <c r="C48" s="184" t="s">
        <v>140</v>
      </c>
      <c r="D48" s="229"/>
      <c r="E48" s="229"/>
      <c r="F48" s="230">
        <v>580</v>
      </c>
      <c r="G48" s="229" t="s">
        <v>162</v>
      </c>
    </row>
    <row r="49" spans="2:7" x14ac:dyDescent="0.25">
      <c r="B49" s="233">
        <v>141</v>
      </c>
      <c r="C49" s="184" t="s">
        <v>122</v>
      </c>
      <c r="D49" s="229"/>
      <c r="E49" s="229"/>
      <c r="F49" s="230">
        <v>450</v>
      </c>
      <c r="G49" s="229"/>
    </row>
    <row r="50" spans="2:7" x14ac:dyDescent="0.25">
      <c r="B50" s="233">
        <v>142</v>
      </c>
      <c r="C50" s="184" t="s">
        <v>122</v>
      </c>
      <c r="D50" s="229"/>
      <c r="E50" s="229"/>
      <c r="F50" s="230">
        <v>450</v>
      </c>
      <c r="G50" s="229"/>
    </row>
    <row r="51" spans="2:7" x14ac:dyDescent="0.25">
      <c r="B51" s="233">
        <v>144</v>
      </c>
      <c r="C51" s="184" t="s">
        <v>141</v>
      </c>
      <c r="D51" s="229"/>
      <c r="E51" s="229"/>
      <c r="F51" s="230">
        <v>3000</v>
      </c>
      <c r="G51" s="229" t="s">
        <v>160</v>
      </c>
    </row>
    <row r="52" spans="2:7" x14ac:dyDescent="0.25">
      <c r="B52" s="233">
        <v>145</v>
      </c>
      <c r="C52" s="184" t="s">
        <v>142</v>
      </c>
      <c r="D52" s="229"/>
      <c r="E52" s="229"/>
      <c r="F52" s="230"/>
      <c r="G52" s="229"/>
    </row>
    <row r="53" spans="2:7" x14ac:dyDescent="0.25">
      <c r="B53" s="233">
        <v>146</v>
      </c>
      <c r="C53" s="184" t="s">
        <v>143</v>
      </c>
      <c r="D53" s="229"/>
      <c r="E53" s="229"/>
      <c r="F53" s="230">
        <v>250</v>
      </c>
      <c r="G53" s="229"/>
    </row>
    <row r="54" spans="2:7" x14ac:dyDescent="0.25">
      <c r="B54" s="233">
        <v>147</v>
      </c>
      <c r="C54" s="184" t="s">
        <v>143</v>
      </c>
      <c r="D54" s="229"/>
      <c r="E54" s="229"/>
      <c r="F54" s="230">
        <v>100</v>
      </c>
      <c r="G54" s="229"/>
    </row>
    <row r="55" spans="2:7" x14ac:dyDescent="0.25">
      <c r="B55" s="233">
        <v>148</v>
      </c>
      <c r="C55" s="184" t="s">
        <v>144</v>
      </c>
      <c r="D55" s="229"/>
      <c r="E55" s="229"/>
      <c r="F55" s="230">
        <v>100</v>
      </c>
      <c r="G55" s="229"/>
    </row>
    <row r="56" spans="2:7" x14ac:dyDescent="0.25">
      <c r="B56" s="233">
        <v>149</v>
      </c>
      <c r="C56" s="184" t="s">
        <v>144</v>
      </c>
      <c r="D56" s="229"/>
      <c r="E56" s="229"/>
      <c r="F56" s="230">
        <v>100</v>
      </c>
      <c r="G56" s="229"/>
    </row>
    <row r="57" spans="2:7" x14ac:dyDescent="0.25">
      <c r="B57" s="233">
        <v>150</v>
      </c>
      <c r="C57" s="184" t="s">
        <v>144</v>
      </c>
      <c r="D57" s="229"/>
      <c r="E57" s="229"/>
      <c r="F57" s="230">
        <v>100</v>
      </c>
      <c r="G57" s="229"/>
    </row>
    <row r="58" spans="2:7" x14ac:dyDescent="0.25">
      <c r="B58" s="233">
        <v>151</v>
      </c>
      <c r="C58" s="184" t="s">
        <v>144</v>
      </c>
      <c r="D58" s="229"/>
      <c r="E58" s="229"/>
      <c r="F58" s="230">
        <v>100</v>
      </c>
      <c r="G58" s="229"/>
    </row>
    <row r="59" spans="2:7" x14ac:dyDescent="0.25">
      <c r="B59" s="233">
        <v>152</v>
      </c>
      <c r="C59" s="184" t="s">
        <v>144</v>
      </c>
      <c r="D59" s="229"/>
      <c r="E59" s="229"/>
      <c r="F59" s="230">
        <v>100</v>
      </c>
      <c r="G59" s="229"/>
    </row>
    <row r="60" spans="2:7" x14ac:dyDescent="0.25">
      <c r="B60" s="233">
        <v>153</v>
      </c>
      <c r="C60" s="184" t="s">
        <v>123</v>
      </c>
      <c r="D60" s="229"/>
      <c r="E60" s="229"/>
      <c r="F60" s="230">
        <v>150</v>
      </c>
      <c r="G60" s="229"/>
    </row>
    <row r="61" spans="2:7" x14ac:dyDescent="0.25">
      <c r="B61" s="233">
        <v>154</v>
      </c>
      <c r="C61" s="184" t="s">
        <v>145</v>
      </c>
      <c r="D61" s="229"/>
      <c r="E61" s="229"/>
      <c r="F61" s="230">
        <v>100</v>
      </c>
      <c r="G61" s="229" t="s">
        <v>160</v>
      </c>
    </row>
    <row r="62" spans="2:7" x14ac:dyDescent="0.25">
      <c r="B62" s="233">
        <v>155</v>
      </c>
      <c r="C62" s="184" t="s">
        <v>129</v>
      </c>
      <c r="D62" s="229"/>
      <c r="E62" s="229"/>
      <c r="F62" s="230">
        <v>0</v>
      </c>
      <c r="G62" s="229"/>
    </row>
    <row r="63" spans="2:7" x14ac:dyDescent="0.25">
      <c r="B63" s="233">
        <v>156</v>
      </c>
      <c r="C63" s="184" t="s">
        <v>146</v>
      </c>
      <c r="D63" s="229"/>
      <c r="E63" s="229"/>
      <c r="F63" s="230">
        <v>0</v>
      </c>
      <c r="G63" s="229"/>
    </row>
    <row r="64" spans="2:7" x14ac:dyDescent="0.25">
      <c r="B64" s="233">
        <v>157</v>
      </c>
      <c r="C64" s="184" t="s">
        <v>147</v>
      </c>
      <c r="D64" s="229"/>
      <c r="E64" s="229"/>
      <c r="F64" s="230">
        <v>3750</v>
      </c>
      <c r="G64" s="229" t="s">
        <v>160</v>
      </c>
    </row>
    <row r="65" spans="2:7" x14ac:dyDescent="0.25">
      <c r="B65" s="233">
        <v>159</v>
      </c>
      <c r="C65" s="184" t="s">
        <v>148</v>
      </c>
      <c r="D65" s="229"/>
      <c r="E65" s="229"/>
      <c r="F65" s="230">
        <v>450</v>
      </c>
      <c r="G65" s="229"/>
    </row>
    <row r="66" spans="2:7" x14ac:dyDescent="0.25">
      <c r="B66" s="233">
        <v>160</v>
      </c>
      <c r="C66" s="184" t="s">
        <v>123</v>
      </c>
      <c r="D66" s="229"/>
      <c r="E66" s="229"/>
      <c r="F66" s="230">
        <v>150</v>
      </c>
      <c r="G66" s="229"/>
    </row>
    <row r="67" spans="2:7" x14ac:dyDescent="0.25">
      <c r="B67" s="233">
        <v>161</v>
      </c>
      <c r="C67" s="184" t="s">
        <v>121</v>
      </c>
      <c r="D67" s="229"/>
      <c r="E67" s="229"/>
      <c r="F67" s="230">
        <v>350</v>
      </c>
      <c r="G67" s="229"/>
    </row>
    <row r="68" spans="2:7" x14ac:dyDescent="0.25">
      <c r="B68" s="233">
        <v>163</v>
      </c>
      <c r="C68" s="184" t="s">
        <v>123</v>
      </c>
      <c r="D68" s="229"/>
      <c r="E68" s="229"/>
      <c r="F68" s="230">
        <v>250</v>
      </c>
      <c r="G68" s="229"/>
    </row>
    <row r="69" spans="2:7" x14ac:dyDescent="0.25">
      <c r="B69" s="233">
        <v>164</v>
      </c>
      <c r="C69" s="184" t="s">
        <v>136</v>
      </c>
      <c r="D69" s="229"/>
      <c r="E69" s="229"/>
      <c r="F69" s="230">
        <v>1700</v>
      </c>
      <c r="G69" s="229" t="s">
        <v>160</v>
      </c>
    </row>
    <row r="70" spans="2:7" x14ac:dyDescent="0.25">
      <c r="B70" s="233">
        <v>165</v>
      </c>
      <c r="C70" s="184" t="s">
        <v>131</v>
      </c>
      <c r="D70" s="229"/>
      <c r="E70" s="229"/>
      <c r="F70" s="230">
        <v>600</v>
      </c>
      <c r="G70" s="229" t="s">
        <v>160</v>
      </c>
    </row>
    <row r="71" spans="2:7" x14ac:dyDescent="0.25">
      <c r="B71" s="233">
        <v>166</v>
      </c>
      <c r="C71" s="184" t="s">
        <v>131</v>
      </c>
      <c r="D71" s="229"/>
      <c r="E71" s="229"/>
      <c r="F71" s="230">
        <v>500</v>
      </c>
      <c r="G71" s="229" t="s">
        <v>160</v>
      </c>
    </row>
    <row r="72" spans="2:7" x14ac:dyDescent="0.25">
      <c r="B72" s="233">
        <v>171</v>
      </c>
      <c r="C72" s="184" t="s">
        <v>121</v>
      </c>
      <c r="D72" s="229"/>
      <c r="E72" s="229"/>
      <c r="F72" s="230">
        <v>400</v>
      </c>
      <c r="G72" s="229"/>
    </row>
    <row r="73" spans="2:7" x14ac:dyDescent="0.25">
      <c r="B73" s="233">
        <v>172</v>
      </c>
      <c r="C73" s="184" t="s">
        <v>141</v>
      </c>
      <c r="D73" s="229"/>
      <c r="E73" s="229"/>
      <c r="F73" s="230">
        <v>600</v>
      </c>
      <c r="G73" s="229" t="s">
        <v>160</v>
      </c>
    </row>
    <row r="74" spans="2:7" x14ac:dyDescent="0.25">
      <c r="B74" s="233">
        <v>173</v>
      </c>
      <c r="C74" s="184" t="s">
        <v>136</v>
      </c>
      <c r="D74" s="229"/>
      <c r="E74" s="229"/>
      <c r="F74" s="230">
        <v>1750</v>
      </c>
      <c r="G74" s="229" t="s">
        <v>160</v>
      </c>
    </row>
    <row r="75" spans="2:7" x14ac:dyDescent="0.25">
      <c r="B75" s="233">
        <v>174</v>
      </c>
      <c r="C75" s="184" t="s">
        <v>141</v>
      </c>
      <c r="D75" s="229"/>
      <c r="E75" s="229"/>
      <c r="F75" s="230">
        <v>3250</v>
      </c>
      <c r="G75" s="229" t="s">
        <v>160</v>
      </c>
    </row>
    <row r="76" spans="2:7" x14ac:dyDescent="0.25">
      <c r="B76" s="233">
        <v>175</v>
      </c>
      <c r="C76" s="184" t="s">
        <v>136</v>
      </c>
      <c r="D76" s="229"/>
      <c r="E76" s="229"/>
      <c r="F76" s="230">
        <v>150</v>
      </c>
      <c r="G76" s="229" t="s">
        <v>160</v>
      </c>
    </row>
    <row r="77" spans="2:7" x14ac:dyDescent="0.25">
      <c r="B77" s="233" t="s">
        <v>120</v>
      </c>
      <c r="C77" s="184" t="s">
        <v>149</v>
      </c>
      <c r="D77" s="229"/>
      <c r="E77" s="229"/>
      <c r="F77" s="230">
        <v>0</v>
      </c>
      <c r="G77" s="22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M30"/>
  <sheetViews>
    <sheetView zoomScaleNormal="100" workbookViewId="0">
      <selection activeCell="C15" sqref="C15"/>
    </sheetView>
  </sheetViews>
  <sheetFormatPr baseColWidth="10" defaultRowHeight="15" x14ac:dyDescent="0.25"/>
  <cols>
    <col min="1" max="1" width="2.7109375" customWidth="1"/>
    <col min="2" max="2" width="10.42578125" customWidth="1"/>
    <col min="3" max="3" width="9.28515625" customWidth="1"/>
    <col min="14" max="14" width="2.7109375" customWidth="1"/>
  </cols>
  <sheetData>
    <row r="1" spans="1:13" ht="20.25" x14ac:dyDescent="0.3">
      <c r="A1" s="2"/>
      <c r="B1" s="1" t="s">
        <v>77</v>
      </c>
      <c r="C1" s="1"/>
      <c r="D1" s="1"/>
      <c r="E1" s="2"/>
      <c r="F1" s="2"/>
      <c r="G1" s="2"/>
      <c r="H1" s="2"/>
      <c r="I1" s="2"/>
      <c r="J1" s="2"/>
      <c r="K1" s="2"/>
      <c r="L1" s="2"/>
      <c r="M1" s="2"/>
    </row>
    <row r="2" spans="1:13" s="92" customFormat="1" ht="12.75" x14ac:dyDescent="0.2">
      <c r="A2" s="67"/>
      <c r="B2" s="46"/>
      <c r="C2" s="46"/>
      <c r="D2" s="46"/>
      <c r="E2" s="46"/>
      <c r="F2" s="46"/>
      <c r="G2" s="67"/>
      <c r="H2" s="67"/>
      <c r="I2" s="67"/>
      <c r="J2" s="67"/>
      <c r="K2" s="67"/>
      <c r="L2" s="67"/>
      <c r="M2" s="67"/>
    </row>
    <row r="3" spans="1:13" s="119" customFormat="1" x14ac:dyDescent="0.25">
      <c r="A3" s="47"/>
      <c r="B3" s="47"/>
      <c r="C3" s="15" t="s">
        <v>7</v>
      </c>
      <c r="D3" s="358" t="str">
        <f>Klimaberegninger!D3</f>
        <v>623009/Finstad flerbrukshall</v>
      </c>
      <c r="E3" s="358"/>
      <c r="F3" s="358"/>
      <c r="G3" s="49"/>
      <c r="H3" s="47"/>
      <c r="I3" s="47"/>
      <c r="J3" s="47"/>
      <c r="K3" s="47"/>
      <c r="L3" s="47"/>
      <c r="M3" s="47"/>
    </row>
    <row r="4" spans="1:13" s="119" customFormat="1" ht="14.25" x14ac:dyDescent="0.2">
      <c r="A4" s="47"/>
      <c r="B4" s="47"/>
      <c r="C4" s="15" t="s">
        <v>9</v>
      </c>
      <c r="D4" s="354" t="str">
        <f>Klimaberegninger!D4</f>
        <v>Torbjørn S. Stensrud</v>
      </c>
      <c r="E4" s="354"/>
      <c r="F4" s="354"/>
      <c r="G4" s="13"/>
      <c r="H4" s="47"/>
      <c r="I4" s="47"/>
      <c r="J4" s="47"/>
      <c r="K4" s="47"/>
      <c r="L4" s="47"/>
      <c r="M4" s="47"/>
    </row>
    <row r="5" spans="1:13" s="119" customFormat="1" ht="14.25" x14ac:dyDescent="0.2">
      <c r="A5" s="47"/>
      <c r="B5" s="47"/>
      <c r="C5" s="15" t="s">
        <v>32</v>
      </c>
      <c r="D5" s="42">
        <f>Klimaberegninger!D5</f>
        <v>45237</v>
      </c>
      <c r="E5" s="15" t="s">
        <v>33</v>
      </c>
      <c r="F5" s="170" t="str">
        <f>IF(Klimaberegninger!F5="","",Klimaberegninger!F5)</f>
        <v>25.01.2023</v>
      </c>
      <c r="G5" s="21"/>
      <c r="H5" s="47"/>
      <c r="I5" s="47"/>
      <c r="J5" s="47"/>
      <c r="K5" s="47"/>
      <c r="L5" s="47"/>
      <c r="M5" s="47"/>
    </row>
    <row r="6" spans="1:13" s="92" customFormat="1" ht="12.75" x14ac:dyDescent="0.2">
      <c r="A6" s="67"/>
      <c r="B6" s="46"/>
      <c r="C6" s="120"/>
      <c r="D6" s="25"/>
      <c r="E6" s="120"/>
      <c r="F6" s="120"/>
      <c r="H6" s="67"/>
      <c r="I6" s="67"/>
      <c r="J6" s="67"/>
      <c r="K6" s="67"/>
      <c r="L6" s="67"/>
      <c r="M6" s="67"/>
    </row>
    <row r="7" spans="1:13" s="92" customFormat="1" ht="14.25" x14ac:dyDescent="0.2">
      <c r="B7" s="121" t="s">
        <v>61</v>
      </c>
      <c r="C7" s="355" t="s">
        <v>94</v>
      </c>
      <c r="D7" s="355"/>
      <c r="E7" s="355"/>
      <c r="F7" s="355"/>
      <c r="G7" s="355"/>
      <c r="H7" s="356"/>
      <c r="I7" s="122" t="s">
        <v>62</v>
      </c>
      <c r="J7" s="357" t="s">
        <v>47</v>
      </c>
      <c r="K7" s="356"/>
      <c r="L7" s="123" t="s">
        <v>63</v>
      </c>
      <c r="M7" s="124" t="s">
        <v>64</v>
      </c>
    </row>
    <row r="8" spans="1:13" s="92" customFormat="1" ht="25.5" x14ac:dyDescent="0.2">
      <c r="B8" s="125"/>
      <c r="C8" s="126" t="s">
        <v>65</v>
      </c>
      <c r="D8" s="125" t="s">
        <v>66</v>
      </c>
      <c r="E8" s="127" t="s">
        <v>67</v>
      </c>
      <c r="F8" s="127" t="s">
        <v>68</v>
      </c>
      <c r="G8" s="125" t="s">
        <v>69</v>
      </c>
      <c r="H8" s="125" t="s">
        <v>70</v>
      </c>
      <c r="I8" s="127" t="s">
        <v>71</v>
      </c>
      <c r="J8" s="128" t="s">
        <v>65</v>
      </c>
      <c r="K8" s="129" t="s">
        <v>66</v>
      </c>
      <c r="L8" s="130" t="s">
        <v>72</v>
      </c>
      <c r="M8" s="131"/>
    </row>
    <row r="9" spans="1:13" s="92" customFormat="1" ht="12.75" x14ac:dyDescent="0.2">
      <c r="B9" s="77" t="s">
        <v>238</v>
      </c>
      <c r="C9" s="75">
        <f>SUMIF(Klimaberegninger!$S$11:$S$83,'Luftmengder pr aggr'!B9,Klimaberegninger!$O$11:$O$83)</f>
        <v>16000</v>
      </c>
      <c r="D9" s="75">
        <f>SUMIF(Klimaberegninger!$S$11:$S$83,'Luftmengder pr aggr'!B9,Klimaberegninger!$P$11:$P$83)</f>
        <v>16000</v>
      </c>
      <c r="E9" s="75">
        <f>SUMIFS(Klimaberegninger!$O$11:$O$83,Klimaberegninger!$S$11:$S$83,B9,Klimaberegninger!$T$11:$T$83,"x")</f>
        <v>16000</v>
      </c>
      <c r="F9" s="132">
        <v>0.8</v>
      </c>
      <c r="G9" s="75">
        <f t="shared" ref="G9:G24" si="0">(C9-E9)+(E9*F9)</f>
        <v>12800</v>
      </c>
      <c r="H9" s="75">
        <f t="shared" ref="H9:H24" si="1">G9</f>
        <v>12800</v>
      </c>
      <c r="I9" s="75">
        <f>SUMIF(Klimaberegninger!$S$11:$S$83,B9,Klimaberegninger!$F$11:$F$83)</f>
        <v>1416.6999999999998</v>
      </c>
      <c r="J9" s="133">
        <v>16000</v>
      </c>
      <c r="K9" s="133">
        <v>16000</v>
      </c>
      <c r="L9" s="75">
        <f t="shared" ref="L9:L24" si="2">IF(J9="","",SUM(J9/I9))</f>
        <v>11.29385190936684</v>
      </c>
      <c r="M9" s="134">
        <f t="shared" ref="M9:M24" si="3">IF(J9="","",SUM((J9-G9)/G9))</f>
        <v>0.25</v>
      </c>
    </row>
    <row r="10" spans="1:13" s="92" customFormat="1" ht="12.75" x14ac:dyDescent="0.2">
      <c r="B10" s="77" t="s">
        <v>239</v>
      </c>
      <c r="C10" s="75">
        <f>SUMIF(Klimaberegninger!$S$11:$S$83,'Luftmengder pr aggr'!B10,Klimaberegninger!$O$11:$O$83)</f>
        <v>12470</v>
      </c>
      <c r="D10" s="75">
        <f>SUMIF(Klimaberegninger!$S$11:$S$83,'Luftmengder pr aggr'!B10,Klimaberegninger!$P$11:$P$83)</f>
        <v>12670</v>
      </c>
      <c r="E10" s="75">
        <f>SUMIFS(Klimaberegninger!$O$11:$O$83,Klimaberegninger!$S$11:$S$83,B10,Klimaberegninger!$T$11:$T$83,"x")</f>
        <v>7930</v>
      </c>
      <c r="F10" s="132">
        <v>0.8</v>
      </c>
      <c r="G10" s="75">
        <f t="shared" si="0"/>
        <v>10884</v>
      </c>
      <c r="H10" s="75">
        <f t="shared" si="1"/>
        <v>10884</v>
      </c>
      <c r="I10" s="75">
        <f>SUMIF(Klimaberegninger!$S$11:$S$83,B10,Klimaberegninger!$F$11:$F$83)</f>
        <v>1326.1</v>
      </c>
      <c r="J10" s="133">
        <v>11000</v>
      </c>
      <c r="K10" s="133">
        <v>11000</v>
      </c>
      <c r="L10" s="75">
        <f t="shared" si="2"/>
        <v>8.2950003770454721</v>
      </c>
      <c r="M10" s="134">
        <f t="shared" si="3"/>
        <v>1.0657846380007351E-2</v>
      </c>
    </row>
    <row r="11" spans="1:13" s="92" customFormat="1" ht="12.75" x14ac:dyDescent="0.2">
      <c r="B11" s="77" t="s">
        <v>157</v>
      </c>
      <c r="C11" s="75">
        <f>SUMIF(Klimaberegninger!$S$11:$S$83,'Luftmengder pr aggr'!B11,Klimaberegninger!$O$11:$O$83)</f>
        <v>6200</v>
      </c>
      <c r="D11" s="75">
        <f>SUMIF(Klimaberegninger!$S$11:$S$83,'Luftmengder pr aggr'!B11,Klimaberegninger!$P$11:$P$83)</f>
        <v>6200</v>
      </c>
      <c r="E11" s="75">
        <f>SUMIFS(Klimaberegninger!$O$11:$O$83,Klimaberegninger!$S$11:$S$83,B11,Klimaberegninger!$T$11:$T$83,"x")</f>
        <v>6000</v>
      </c>
      <c r="F11" s="132">
        <v>0.8</v>
      </c>
      <c r="G11" s="75">
        <f t="shared" si="0"/>
        <v>5000</v>
      </c>
      <c r="H11" s="75">
        <f t="shared" si="1"/>
        <v>5000</v>
      </c>
      <c r="I11" s="75">
        <f>SUMIF(Klimaberegninger!$S$11:$S$83,B11,Klimaberegninger!$F$11:$F$83)</f>
        <v>264.10000000000002</v>
      </c>
      <c r="J11" s="133">
        <v>6000</v>
      </c>
      <c r="K11" s="133">
        <v>6000</v>
      </c>
      <c r="L11" s="75">
        <f t="shared" si="2"/>
        <v>22.718667171525937</v>
      </c>
      <c r="M11" s="134">
        <f t="shared" si="3"/>
        <v>0.2</v>
      </c>
    </row>
    <row r="12" spans="1:13" s="92" customFormat="1" ht="12.75" x14ac:dyDescent="0.2">
      <c r="B12" s="77" t="s">
        <v>240</v>
      </c>
      <c r="C12" s="75">
        <f>SUMIF(Klimaberegninger!$S$11:$S$83,'Luftmengder pr aggr'!B12,Klimaberegninger!$O$11:$O$83)</f>
        <v>0</v>
      </c>
      <c r="D12" s="75">
        <f>SUMIF(Klimaberegninger!$S$11:$S$83,'Luftmengder pr aggr'!B12,Klimaberegninger!$P$11:$P$83)</f>
        <v>0</v>
      </c>
      <c r="E12" s="75">
        <f>SUMIFS(Klimaberegninger!$O$11:$O$83,Klimaberegninger!$S$11:$S$83,B12,Klimaberegninger!$T$11:$T$83,"x")</f>
        <v>0</v>
      </c>
      <c r="F12" s="132">
        <v>0.8</v>
      </c>
      <c r="G12" s="75">
        <f t="shared" si="0"/>
        <v>0</v>
      </c>
      <c r="H12" s="75">
        <f t="shared" si="1"/>
        <v>0</v>
      </c>
      <c r="I12" s="75">
        <f>SUMIF(Klimaberegninger!$S$11:$S$83,B12,Klimaberegninger!$F$11:$F$83)</f>
        <v>8</v>
      </c>
      <c r="J12" s="133"/>
      <c r="K12" s="133"/>
      <c r="L12" s="75" t="str">
        <f t="shared" si="2"/>
        <v/>
      </c>
      <c r="M12" s="134" t="str">
        <f t="shared" si="3"/>
        <v/>
      </c>
    </row>
    <row r="13" spans="1:13" s="92" customFormat="1" ht="12.75" x14ac:dyDescent="0.2">
      <c r="B13" s="77"/>
      <c r="C13" s="75">
        <f>SUMIF(Klimaberegninger!$S$11:$S$83,'Luftmengder pr aggr'!B13,Klimaberegninger!$O$11:$O$83)</f>
        <v>0</v>
      </c>
      <c r="D13" s="75">
        <f>SUMIF(Klimaberegninger!$S$11:$S$83,'Luftmengder pr aggr'!B13,Klimaberegninger!$P$11:$P$83)</f>
        <v>0</v>
      </c>
      <c r="E13" s="75">
        <f>SUMIFS(Klimaberegninger!$O$11:$O$83,Klimaberegninger!$S$11:$S$83,B13,Klimaberegninger!$T$11:$T$83,"x")</f>
        <v>0</v>
      </c>
      <c r="F13" s="132">
        <v>0.8</v>
      </c>
      <c r="G13" s="75">
        <f t="shared" si="0"/>
        <v>0</v>
      </c>
      <c r="H13" s="75">
        <f t="shared" si="1"/>
        <v>0</v>
      </c>
      <c r="I13" s="75">
        <f>SUMIF(Klimaberegninger!$S$11:$S$83,B13,Klimaberegninger!$F$11:$F$83)</f>
        <v>0</v>
      </c>
      <c r="J13" s="133"/>
      <c r="K13" s="133"/>
      <c r="L13" s="75" t="str">
        <f t="shared" si="2"/>
        <v/>
      </c>
      <c r="M13" s="134" t="str">
        <f t="shared" si="3"/>
        <v/>
      </c>
    </row>
    <row r="14" spans="1:13" s="92" customFormat="1" ht="12.75" x14ac:dyDescent="0.2">
      <c r="B14" s="77"/>
      <c r="C14" s="75">
        <f>SUMIF(Klimaberegninger!$S$11:$S$83,'Luftmengder pr aggr'!B14,Klimaberegninger!$O$11:$O$83)</f>
        <v>0</v>
      </c>
      <c r="D14" s="75">
        <f>SUMIF(Klimaberegninger!$S$11:$S$83,'Luftmengder pr aggr'!B14,Klimaberegninger!$P$11:$P$83)</f>
        <v>0</v>
      </c>
      <c r="E14" s="75">
        <f>SUMIFS(Klimaberegninger!$O$11:$O$83,Klimaberegninger!$S$11:$S$83,B14,Klimaberegninger!$T$11:$T$83,"x")</f>
        <v>0</v>
      </c>
      <c r="F14" s="132">
        <v>0.8</v>
      </c>
      <c r="G14" s="75">
        <f t="shared" si="0"/>
        <v>0</v>
      </c>
      <c r="H14" s="75">
        <f t="shared" si="1"/>
        <v>0</v>
      </c>
      <c r="I14" s="75">
        <f>SUMIF(Klimaberegninger!$S$11:$S$83,B14,Klimaberegninger!$F$11:$F$83)</f>
        <v>0</v>
      </c>
      <c r="J14" s="133"/>
      <c r="K14" s="133"/>
      <c r="L14" s="75" t="str">
        <f t="shared" si="2"/>
        <v/>
      </c>
      <c r="M14" s="134" t="str">
        <f t="shared" si="3"/>
        <v/>
      </c>
    </row>
    <row r="15" spans="1:13" s="92" customFormat="1" ht="12.75" x14ac:dyDescent="0.2">
      <c r="B15" s="77"/>
      <c r="C15" s="75">
        <f>SUMIF(Klimaberegninger!$S$11:$S$83,'Luftmengder pr aggr'!B15,Klimaberegninger!$O$11:$O$83)</f>
        <v>0</v>
      </c>
      <c r="D15" s="75">
        <f>SUMIF(Klimaberegninger!$S$11:$S$83,'Luftmengder pr aggr'!B15,Klimaberegninger!$P$11:$P$83)</f>
        <v>0</v>
      </c>
      <c r="E15" s="75">
        <f>SUMIFS(Klimaberegninger!$O$11:$O$83,Klimaberegninger!$S$11:$S$83,B15,Klimaberegninger!$T$11:$T$83,"x")</f>
        <v>0</v>
      </c>
      <c r="F15" s="132">
        <v>0.8</v>
      </c>
      <c r="G15" s="75">
        <f t="shared" si="0"/>
        <v>0</v>
      </c>
      <c r="H15" s="75">
        <f t="shared" si="1"/>
        <v>0</v>
      </c>
      <c r="I15" s="75">
        <f>SUMIF(Klimaberegninger!$S$11:$S$83,B15,Klimaberegninger!$F$11:$F$83)</f>
        <v>0</v>
      </c>
      <c r="J15" s="133"/>
      <c r="K15" s="133"/>
      <c r="L15" s="75" t="str">
        <f t="shared" si="2"/>
        <v/>
      </c>
      <c r="M15" s="134" t="str">
        <f t="shared" si="3"/>
        <v/>
      </c>
    </row>
    <row r="16" spans="1:13" s="92" customFormat="1" ht="12.75" x14ac:dyDescent="0.2">
      <c r="B16" s="77"/>
      <c r="C16" s="75">
        <f>SUMIF(Klimaberegninger!$S$11:$S$83,'Luftmengder pr aggr'!B16,Klimaberegninger!$O$11:$O$83)</f>
        <v>0</v>
      </c>
      <c r="D16" s="75">
        <f>SUMIF(Klimaberegninger!$S$11:$S$83,'Luftmengder pr aggr'!B16,Klimaberegninger!$P$11:$P$83)</f>
        <v>0</v>
      </c>
      <c r="E16" s="75">
        <f>SUMIFS(Klimaberegninger!$O$11:$O$83,Klimaberegninger!$S$11:$S$83,B16,Klimaberegninger!$T$11:$T$83,"x")</f>
        <v>0</v>
      </c>
      <c r="F16" s="132">
        <v>0.8</v>
      </c>
      <c r="G16" s="75">
        <f t="shared" si="0"/>
        <v>0</v>
      </c>
      <c r="H16" s="75">
        <f t="shared" si="1"/>
        <v>0</v>
      </c>
      <c r="I16" s="75">
        <f>SUMIF(Klimaberegninger!$S$11:$S$83,B16,Klimaberegninger!$F$11:$F$83)</f>
        <v>0</v>
      </c>
      <c r="J16" s="133"/>
      <c r="K16" s="133"/>
      <c r="L16" s="75" t="str">
        <f t="shared" si="2"/>
        <v/>
      </c>
      <c r="M16" s="134" t="str">
        <f t="shared" si="3"/>
        <v/>
      </c>
    </row>
    <row r="17" spans="2:13" s="92" customFormat="1" ht="12.75" x14ac:dyDescent="0.2">
      <c r="B17" s="77"/>
      <c r="C17" s="75">
        <f>SUMIF(Klimaberegninger!$S$11:$S$83,'Luftmengder pr aggr'!B17,Klimaberegninger!$O$11:$O$83)</f>
        <v>0</v>
      </c>
      <c r="D17" s="75">
        <f>SUMIF(Klimaberegninger!$S$11:$S$83,'Luftmengder pr aggr'!B17,Klimaberegninger!$P$11:$P$83)</f>
        <v>0</v>
      </c>
      <c r="E17" s="75">
        <f>SUMIFS(Klimaberegninger!$O$11:$O$83,Klimaberegninger!$S$11:$S$83,B17,Klimaberegninger!$T$11:$T$83,"x")</f>
        <v>0</v>
      </c>
      <c r="F17" s="132">
        <v>0.8</v>
      </c>
      <c r="G17" s="75">
        <f t="shared" si="0"/>
        <v>0</v>
      </c>
      <c r="H17" s="75">
        <f t="shared" si="1"/>
        <v>0</v>
      </c>
      <c r="I17" s="75">
        <f>SUMIF(Klimaberegninger!$S$11:$S$83,B17,Klimaberegninger!$F$11:$F$83)</f>
        <v>0</v>
      </c>
      <c r="J17" s="133"/>
      <c r="K17" s="133"/>
      <c r="L17" s="75" t="str">
        <f t="shared" si="2"/>
        <v/>
      </c>
      <c r="M17" s="134" t="str">
        <f t="shared" si="3"/>
        <v/>
      </c>
    </row>
    <row r="18" spans="2:13" s="92" customFormat="1" ht="12.75" x14ac:dyDescent="0.2">
      <c r="B18" s="77"/>
      <c r="C18" s="75">
        <f>SUMIF(Klimaberegninger!$S$11:$S$83,'Luftmengder pr aggr'!B18,Klimaberegninger!$O$11:$O$83)</f>
        <v>0</v>
      </c>
      <c r="D18" s="75">
        <f>SUMIF(Klimaberegninger!$S$11:$S$83,'Luftmengder pr aggr'!B18,Klimaberegninger!$P$11:$P$83)</f>
        <v>0</v>
      </c>
      <c r="E18" s="75">
        <f>SUMIFS(Klimaberegninger!$O$11:$O$83,Klimaberegninger!$S$11:$S$83,B18,Klimaberegninger!$T$11:$T$83,"x")</f>
        <v>0</v>
      </c>
      <c r="F18" s="132">
        <v>0.8</v>
      </c>
      <c r="G18" s="75">
        <f t="shared" si="0"/>
        <v>0</v>
      </c>
      <c r="H18" s="75">
        <f t="shared" si="1"/>
        <v>0</v>
      </c>
      <c r="I18" s="75">
        <f>SUMIF(Klimaberegninger!$S$11:$S$83,B18,Klimaberegninger!$F$11:$F$83)</f>
        <v>0</v>
      </c>
      <c r="J18" s="133"/>
      <c r="K18" s="133"/>
      <c r="L18" s="75" t="str">
        <f t="shared" si="2"/>
        <v/>
      </c>
      <c r="M18" s="134" t="str">
        <f t="shared" si="3"/>
        <v/>
      </c>
    </row>
    <row r="19" spans="2:13" s="92" customFormat="1" ht="12.75" x14ac:dyDescent="0.2">
      <c r="B19" s="77"/>
      <c r="C19" s="75">
        <f>SUMIF(Klimaberegninger!$S$11:$S$83,'Luftmengder pr aggr'!B19,Klimaberegninger!$O$11:$O$83)</f>
        <v>0</v>
      </c>
      <c r="D19" s="75">
        <f>SUMIF(Klimaberegninger!$S$11:$S$83,'Luftmengder pr aggr'!B19,Klimaberegninger!$P$11:$P$83)</f>
        <v>0</v>
      </c>
      <c r="E19" s="75">
        <f>SUMIFS(Klimaberegninger!$O$11:$O$83,Klimaberegninger!$S$11:$S$83,B19,Klimaberegninger!$T$11:$T$83,"x")</f>
        <v>0</v>
      </c>
      <c r="F19" s="132">
        <v>0.8</v>
      </c>
      <c r="G19" s="75">
        <f t="shared" si="0"/>
        <v>0</v>
      </c>
      <c r="H19" s="75">
        <f t="shared" si="1"/>
        <v>0</v>
      </c>
      <c r="I19" s="75">
        <f>SUMIF(Klimaberegninger!$S$11:$S$83,B19,Klimaberegninger!$F$11:$F$83)</f>
        <v>0</v>
      </c>
      <c r="J19" s="133"/>
      <c r="K19" s="133"/>
      <c r="L19" s="75" t="str">
        <f t="shared" si="2"/>
        <v/>
      </c>
      <c r="M19" s="134" t="str">
        <f t="shared" si="3"/>
        <v/>
      </c>
    </row>
    <row r="20" spans="2:13" s="92" customFormat="1" ht="12.75" x14ac:dyDescent="0.2">
      <c r="B20" s="77"/>
      <c r="C20" s="75">
        <f>SUMIF(Klimaberegninger!$S$11:$S$83,'Luftmengder pr aggr'!B20,Klimaberegninger!$O$11:$O$83)</f>
        <v>0</v>
      </c>
      <c r="D20" s="75">
        <f>SUMIF(Klimaberegninger!$S$11:$S$83,'Luftmengder pr aggr'!B20,Klimaberegninger!$P$11:$P$83)</f>
        <v>0</v>
      </c>
      <c r="E20" s="75">
        <f>SUMIFS(Klimaberegninger!$O$11:$O$83,Klimaberegninger!$S$11:$S$83,B20,Klimaberegninger!$T$11:$T$83,"x")</f>
        <v>0</v>
      </c>
      <c r="F20" s="132">
        <v>0.8</v>
      </c>
      <c r="G20" s="75">
        <f t="shared" si="0"/>
        <v>0</v>
      </c>
      <c r="H20" s="75">
        <f t="shared" si="1"/>
        <v>0</v>
      </c>
      <c r="I20" s="75">
        <f>SUMIF(Klimaberegninger!$S$11:$S$83,B20,Klimaberegninger!$F$11:$F$83)</f>
        <v>0</v>
      </c>
      <c r="J20" s="133"/>
      <c r="K20" s="133"/>
      <c r="L20" s="75" t="str">
        <f t="shared" si="2"/>
        <v/>
      </c>
      <c r="M20" s="134" t="str">
        <f t="shared" si="3"/>
        <v/>
      </c>
    </row>
    <row r="21" spans="2:13" s="92" customFormat="1" ht="12.75" x14ac:dyDescent="0.2">
      <c r="B21" s="77"/>
      <c r="C21" s="75">
        <f>SUMIF(Klimaberegninger!$S$11:$S$83,'Luftmengder pr aggr'!B21,Klimaberegninger!$O$11:$O$83)</f>
        <v>0</v>
      </c>
      <c r="D21" s="75">
        <f>SUMIF(Klimaberegninger!$S$11:$S$83,'Luftmengder pr aggr'!B21,Klimaberegninger!$P$11:$P$83)</f>
        <v>0</v>
      </c>
      <c r="E21" s="75">
        <f>SUMIFS(Klimaberegninger!$O$11:$O$83,Klimaberegninger!$S$11:$S$83,B21,Klimaberegninger!$T$11:$T$83,"x")</f>
        <v>0</v>
      </c>
      <c r="F21" s="132">
        <v>0.8</v>
      </c>
      <c r="G21" s="75">
        <f t="shared" si="0"/>
        <v>0</v>
      </c>
      <c r="H21" s="75">
        <f t="shared" si="1"/>
        <v>0</v>
      </c>
      <c r="I21" s="75">
        <f>SUMIF(Klimaberegninger!$S$11:$S$83,B21,Klimaberegninger!$F$11:$F$83)</f>
        <v>0</v>
      </c>
      <c r="J21" s="133"/>
      <c r="K21" s="133"/>
      <c r="L21" s="75" t="str">
        <f t="shared" si="2"/>
        <v/>
      </c>
      <c r="M21" s="134" t="str">
        <f t="shared" si="3"/>
        <v/>
      </c>
    </row>
    <row r="22" spans="2:13" s="92" customFormat="1" ht="12.75" x14ac:dyDescent="0.2">
      <c r="B22" s="77"/>
      <c r="C22" s="75">
        <f>SUMIF(Klimaberegninger!$S$11:$S$83,'Luftmengder pr aggr'!B22,Klimaberegninger!$O$11:$O$83)</f>
        <v>0</v>
      </c>
      <c r="D22" s="75">
        <f>SUMIF(Klimaberegninger!$S$11:$S$83,'Luftmengder pr aggr'!B22,Klimaberegninger!$P$11:$P$83)</f>
        <v>0</v>
      </c>
      <c r="E22" s="75">
        <f>SUMIFS(Klimaberegninger!$O$11:$O$83,Klimaberegninger!$S$11:$S$83,B22,Klimaberegninger!$T$11:$T$83,"x")</f>
        <v>0</v>
      </c>
      <c r="F22" s="132">
        <v>0.8</v>
      </c>
      <c r="G22" s="75">
        <f t="shared" si="0"/>
        <v>0</v>
      </c>
      <c r="H22" s="75">
        <f t="shared" si="1"/>
        <v>0</v>
      </c>
      <c r="I22" s="75">
        <f>SUMIF(Klimaberegninger!$S$11:$S$83,B22,Klimaberegninger!$F$11:$F$83)</f>
        <v>0</v>
      </c>
      <c r="J22" s="133"/>
      <c r="K22" s="135"/>
      <c r="L22" s="75" t="str">
        <f t="shared" si="2"/>
        <v/>
      </c>
      <c r="M22" s="134" t="str">
        <f t="shared" si="3"/>
        <v/>
      </c>
    </row>
    <row r="23" spans="2:13" s="92" customFormat="1" ht="12.75" x14ac:dyDescent="0.2">
      <c r="B23" s="77"/>
      <c r="C23" s="75">
        <f>SUMIF(Klimaberegninger!$S$11:$S$83,'Luftmengder pr aggr'!B23,Klimaberegninger!$O$11:$O$83)</f>
        <v>0</v>
      </c>
      <c r="D23" s="75">
        <f>SUMIF(Klimaberegninger!$S$11:$S$83,'Luftmengder pr aggr'!B23,Klimaberegninger!$P$11:$P$83)</f>
        <v>0</v>
      </c>
      <c r="E23" s="75">
        <f>SUMIFS(Klimaberegninger!$O$11:$O$83,Klimaberegninger!$S$11:$S$83,B23,Klimaberegninger!$T$11:$T$83,"x")</f>
        <v>0</v>
      </c>
      <c r="F23" s="132">
        <v>0.8</v>
      </c>
      <c r="G23" s="75">
        <f t="shared" si="0"/>
        <v>0</v>
      </c>
      <c r="H23" s="75">
        <f t="shared" si="1"/>
        <v>0</v>
      </c>
      <c r="I23" s="75">
        <f>SUMIF(Klimaberegninger!$S$11:$S$83,B23,Klimaberegninger!$F$11:$F$83)</f>
        <v>0</v>
      </c>
      <c r="J23" s="133"/>
      <c r="K23" s="135"/>
      <c r="L23" s="75" t="str">
        <f t="shared" si="2"/>
        <v/>
      </c>
      <c r="M23" s="134" t="str">
        <f t="shared" si="3"/>
        <v/>
      </c>
    </row>
    <row r="24" spans="2:13" s="92" customFormat="1" ht="12.75" x14ac:dyDescent="0.2">
      <c r="B24" s="77"/>
      <c r="C24" s="75">
        <f>SUMIF(Klimaberegninger!$S$11:$S$83,'Luftmengder pr aggr'!B24,Klimaberegninger!$O$11:$O$83)</f>
        <v>0</v>
      </c>
      <c r="D24" s="75">
        <f>SUMIF(Klimaberegninger!$S$11:$S$83,'Luftmengder pr aggr'!B24,Klimaberegninger!$P$11:$P$83)</f>
        <v>0</v>
      </c>
      <c r="E24" s="75">
        <f>SUMIFS(Klimaberegninger!$O$11:$O$83,Klimaberegninger!$S$11:$S$83,B24,Klimaberegninger!$T$11:$T$83,"x")</f>
        <v>0</v>
      </c>
      <c r="F24" s="132">
        <v>0.8</v>
      </c>
      <c r="G24" s="75">
        <f t="shared" si="0"/>
        <v>0</v>
      </c>
      <c r="H24" s="75">
        <f t="shared" si="1"/>
        <v>0</v>
      </c>
      <c r="I24" s="75">
        <f>SUMIF(Klimaberegninger!$S$11:$S$83,B24,Klimaberegninger!$F$11:$F$83)</f>
        <v>0</v>
      </c>
      <c r="J24" s="133"/>
      <c r="K24" s="135"/>
      <c r="L24" s="75" t="str">
        <f t="shared" si="2"/>
        <v/>
      </c>
      <c r="M24" s="134" t="str">
        <f t="shared" si="3"/>
        <v/>
      </c>
    </row>
    <row r="25" spans="2:13" s="92" customFormat="1" ht="12.75" x14ac:dyDescent="0.2">
      <c r="B25" s="77"/>
      <c r="C25" s="75">
        <f>SUMIF(Klimaberegninger!$S$11:$S$83,'Luftmengder pr aggr'!B25,Klimaberegninger!$O$11:$O$83)</f>
        <v>0</v>
      </c>
      <c r="D25" s="75">
        <f>SUMIF(Klimaberegninger!$S$11:$S$83,'Luftmengder pr aggr'!B25,Klimaberegninger!$P$11:$P$83)</f>
        <v>0</v>
      </c>
      <c r="E25" s="75">
        <f>SUMIFS(Klimaberegninger!$O$11:$O$83,Klimaberegninger!$S$11:$S$83,B25,Klimaberegninger!$T$11:$T$83,"x")</f>
        <v>0</v>
      </c>
      <c r="F25" s="132">
        <v>0.8</v>
      </c>
      <c r="G25" s="75">
        <f>(C25-E25)+(E25*F25)</f>
        <v>0</v>
      </c>
      <c r="H25" s="75">
        <f>G25</f>
        <v>0</v>
      </c>
      <c r="I25" s="75">
        <f>SUMIF(Klimaberegninger!$S$11:$S$83,B25,Klimaberegninger!$F$11:$F$83)</f>
        <v>0</v>
      </c>
      <c r="J25" s="136"/>
      <c r="K25" s="137"/>
      <c r="L25" s="75" t="str">
        <f>IF(J25="","",SUM(J25/I25))</f>
        <v/>
      </c>
      <c r="M25" s="134" t="str">
        <f>IF(J25="","",SUM((J25-G25)/G25))</f>
        <v/>
      </c>
    </row>
    <row r="26" spans="2:13" s="92" customFormat="1" ht="12.75" x14ac:dyDescent="0.2">
      <c r="B26" s="77"/>
      <c r="C26" s="75">
        <f>SUMIF(Klimaberegninger!$S$11:$S$83,'Luftmengder pr aggr'!B26,Klimaberegninger!$O$11:$O$83)</f>
        <v>0</v>
      </c>
      <c r="D26" s="75">
        <f>SUMIF(Klimaberegninger!$S$11:$S$83,'Luftmengder pr aggr'!B26,Klimaberegninger!$P$11:$P$83)</f>
        <v>0</v>
      </c>
      <c r="E26" s="75">
        <f>SUMIFS(Klimaberegninger!$O$11:$O$83,Klimaberegninger!$S$11:$S$83,B26,Klimaberegninger!$T$11:$T$83,"x")</f>
        <v>0</v>
      </c>
      <c r="F26" s="132">
        <v>0.8</v>
      </c>
      <c r="G26" s="75">
        <f>(C26-E26)+(E26*F26)</f>
        <v>0</v>
      </c>
      <c r="H26" s="75">
        <f>G26</f>
        <v>0</v>
      </c>
      <c r="I26" s="75">
        <f>SUMIF(Klimaberegninger!$S$11:$S$83,B26,Klimaberegninger!$F$11:$F$83)</f>
        <v>0</v>
      </c>
      <c r="J26" s="136"/>
      <c r="K26" s="137"/>
      <c r="L26" s="75" t="str">
        <f>IF(J26="","",SUM(J26/I26))</f>
        <v/>
      </c>
      <c r="M26" s="134" t="str">
        <f>IF(J26="","",SUM((J26-G26)/G26))</f>
        <v/>
      </c>
    </row>
    <row r="27" spans="2:13" s="92" customFormat="1" ht="12.75" x14ac:dyDescent="0.2">
      <c r="B27" s="77"/>
      <c r="C27" s="75">
        <f>SUMIF(Klimaberegninger!$S$11:$S$83,'Luftmengder pr aggr'!B27,Klimaberegninger!$O$11:$O$83)</f>
        <v>0</v>
      </c>
      <c r="D27" s="75">
        <f>SUMIF(Klimaberegninger!$S$11:$S$83,'Luftmengder pr aggr'!B27,Klimaberegninger!$P$11:$P$83)</f>
        <v>0</v>
      </c>
      <c r="E27" s="75">
        <f>SUMIFS(Klimaberegninger!$O$11:$O$83,Klimaberegninger!$S$11:$S$83,B27,Klimaberegninger!$T$11:$T$83,"x")</f>
        <v>0</v>
      </c>
      <c r="F27" s="132">
        <v>0.8</v>
      </c>
      <c r="G27" s="75">
        <f>(C27-E27)+(E27*F27)</f>
        <v>0</v>
      </c>
      <c r="H27" s="75">
        <f>G27</f>
        <v>0</v>
      </c>
      <c r="I27" s="75">
        <f>SUMIF(Klimaberegninger!$S$11:$S$83,B27,Klimaberegninger!$F$11:$F$83)</f>
        <v>0</v>
      </c>
      <c r="J27" s="136"/>
      <c r="K27" s="137"/>
      <c r="L27" s="75" t="str">
        <f>IF(J27="","",SUM(J27/I27))</f>
        <v/>
      </c>
      <c r="M27" s="134" t="str">
        <f>IF(J27="","",SUM((J27-G27)/G27))</f>
        <v/>
      </c>
    </row>
    <row r="28" spans="2:13" s="92" customFormat="1" ht="12.75" x14ac:dyDescent="0.2">
      <c r="B28" s="77"/>
      <c r="C28" s="75">
        <f>SUMIF(Klimaberegninger!$S$11:$S$83,'Luftmengder pr aggr'!B28,Klimaberegninger!$O$11:$O$83)</f>
        <v>0</v>
      </c>
      <c r="D28" s="75">
        <f>SUMIF(Klimaberegninger!$S$11:$S$83,'Luftmengder pr aggr'!B28,Klimaberegninger!$P$11:$P$83)</f>
        <v>0</v>
      </c>
      <c r="E28" s="75">
        <f>SUMIFS(Klimaberegninger!$O$11:$O$83,Klimaberegninger!$S$11:$S$83,B28,Klimaberegninger!$T$11:$T$83,"x")</f>
        <v>0</v>
      </c>
      <c r="F28" s="132">
        <v>0.8</v>
      </c>
      <c r="G28" s="75">
        <f>(C28-E28)+(E28*F28)</f>
        <v>0</v>
      </c>
      <c r="H28" s="75">
        <f>G28</f>
        <v>0</v>
      </c>
      <c r="I28" s="75">
        <f>SUMIF(Klimaberegninger!$S$11:$S$83,B28,Klimaberegninger!$F$11:$F$83)</f>
        <v>0</v>
      </c>
      <c r="J28" s="136"/>
      <c r="K28" s="137"/>
      <c r="L28" s="75" t="str">
        <f>IF(J28="","",SUM(J28/I28))</f>
        <v/>
      </c>
      <c r="M28" s="134" t="str">
        <f>IF(J28="","",SUM((J28-G28)/G28))</f>
        <v/>
      </c>
    </row>
    <row r="29" spans="2:13" s="92" customFormat="1" ht="13.5" thickBot="1" x14ac:dyDescent="0.25">
      <c r="B29" s="138" t="s">
        <v>73</v>
      </c>
      <c r="C29" s="139">
        <f>SUM(C9:C24)</f>
        <v>34670</v>
      </c>
      <c r="D29" s="139">
        <f>SUM(D9:D24)</f>
        <v>34870</v>
      </c>
      <c r="E29" s="139">
        <f>SUM(E9:E24)</f>
        <v>29930</v>
      </c>
      <c r="F29" s="140"/>
      <c r="G29" s="139">
        <f>SUM(G9:G24)</f>
        <v>28684</v>
      </c>
      <c r="H29" s="139">
        <f>SUM(H9:H24)</f>
        <v>28684</v>
      </c>
      <c r="I29" s="139">
        <f>SUM(I9:I24)</f>
        <v>3014.8999999999996</v>
      </c>
      <c r="J29" s="139">
        <f>SUM(J9:J24)</f>
        <v>33000</v>
      </c>
      <c r="K29" s="139">
        <f>SUM(K9:K24)</f>
        <v>33000</v>
      </c>
      <c r="L29" s="139">
        <f>SUM(J29/I29)</f>
        <v>10.94563667119971</v>
      </c>
      <c r="M29" s="141"/>
    </row>
    <row r="30" spans="2:13" s="92" customFormat="1" ht="13.5" thickTop="1" x14ac:dyDescent="0.2"/>
  </sheetData>
  <mergeCells count="4">
    <mergeCell ref="D4:F4"/>
    <mergeCell ref="C7:H7"/>
    <mergeCell ref="J7:K7"/>
    <mergeCell ref="D3:F3"/>
  </mergeCells>
  <pageMargins left="0.25" right="0.25" top="0.75" bottom="0.75" header="0.3" footer="0.3"/>
  <pageSetup paperSize="9" orientation="landscape" r:id="rId1"/>
  <headerFooter>
    <oddHeader>&amp;R&amp;G</oddHeader>
    <oddFooter>&amp;LDato utskrift: &amp;D
Filbane: &amp;Z&amp;F</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3</vt:i4>
      </vt:variant>
      <vt:variant>
        <vt:lpstr>Navngitte områder</vt:lpstr>
      </vt:variant>
      <vt:variant>
        <vt:i4>24</vt:i4>
      </vt:variant>
    </vt:vector>
  </HeadingPairs>
  <TitlesOfParts>
    <vt:vector size="27" baseType="lpstr">
      <vt:lpstr>Klimaberegninger</vt:lpstr>
      <vt:lpstr>Ark1</vt:lpstr>
      <vt:lpstr>Luftmengder pr aggr</vt:lpstr>
      <vt:lpstr>'Ark1'!DUT</vt:lpstr>
      <vt:lpstr>Klimaberegninger!DUT</vt:lpstr>
      <vt:lpstr>'Ark1'!etasjeh</vt:lpstr>
      <vt:lpstr>Klimaberegninger!etasjeh</vt:lpstr>
      <vt:lpstr>'Ark1'!n</vt:lpstr>
      <vt:lpstr>Klimaberegninger!n</vt:lpstr>
      <vt:lpstr>'Ark1'!sikkerhetstill</vt:lpstr>
      <vt:lpstr>Klimaberegninger!sikkerhetstill</vt:lpstr>
      <vt:lpstr>'Ark1'!tilltemper</vt:lpstr>
      <vt:lpstr>Klimaberegninger!tilltemper</vt:lpstr>
      <vt:lpstr>'Ark1'!U_1</vt:lpstr>
      <vt:lpstr>Klimaberegninger!U_1</vt:lpstr>
      <vt:lpstr>'Ark1'!U_2</vt:lpstr>
      <vt:lpstr>Klimaberegninger!U_2</vt:lpstr>
      <vt:lpstr>'Ark1'!U_3</vt:lpstr>
      <vt:lpstr>Klimaberegninger!U_3</vt:lpstr>
      <vt:lpstr>'Ark1'!U_4</vt:lpstr>
      <vt:lpstr>Klimaberegninger!U_4</vt:lpstr>
      <vt:lpstr>'Ark1'!U_5</vt:lpstr>
      <vt:lpstr>Klimaberegninger!U_5</vt:lpstr>
      <vt:lpstr>'Ark1'!U_6</vt:lpstr>
      <vt:lpstr>Klimaberegninger!U_6</vt:lpstr>
      <vt:lpstr>Klimaberegninger!Utskriftsområde</vt:lpstr>
      <vt:lpstr>'Luftmengder pr aggr'!Utskriftsområde</vt:lpstr>
    </vt:vector>
  </TitlesOfParts>
  <Company>SWECO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Hansen, Steve</dc:creator>
  <cp:lastModifiedBy>Stian Meum</cp:lastModifiedBy>
  <cp:lastPrinted>2024-01-25T20:12:57Z</cp:lastPrinted>
  <dcterms:created xsi:type="dcterms:W3CDTF">2014-12-04T07:27:01Z</dcterms:created>
  <dcterms:modified xsi:type="dcterms:W3CDTF">2024-06-10T12:06:10Z</dcterms:modified>
</cp:coreProperties>
</file>